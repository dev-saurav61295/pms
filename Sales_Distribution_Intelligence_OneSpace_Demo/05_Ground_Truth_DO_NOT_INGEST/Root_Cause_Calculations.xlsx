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st Root Cause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₹#,##0;[Red](₹#,##0)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24" customWidth="1" min="3" max="3"/>
  </cols>
  <sheetData>
    <row r="1">
      <c r="A1" s="1" t="inlineStr">
        <is>
          <t>Metric</t>
        </is>
      </c>
      <c r="B1" s="1" t="inlineStr">
        <is>
          <t>Value (INR)</t>
        </is>
      </c>
      <c r="C1" s="1" t="inlineStr">
        <is>
          <t>Notes</t>
        </is>
      </c>
    </row>
    <row r="2">
      <c r="A2" s="2" t="inlineStr">
        <is>
          <t>July East secondary sales</t>
        </is>
      </c>
      <c r="B2" s="3" t="n">
        <v>24000000</v>
      </c>
      <c r="C2" s="2" t="inlineStr">
        <is>
          <t>Observed</t>
        </is>
      </c>
    </row>
    <row r="3">
      <c r="A3" s="2" t="inlineStr">
        <is>
          <t>August East secondary sales</t>
        </is>
      </c>
      <c r="B3" s="3" t="n">
        <v>21264000</v>
      </c>
      <c r="C3" s="2" t="inlineStr">
        <is>
          <t>Observed</t>
        </is>
      </c>
    </row>
    <row r="4">
      <c r="A4" s="2" t="inlineStr">
        <is>
          <t>Observed decline</t>
        </is>
      </c>
      <c r="B4" s="3">
        <f>B2-B3</f>
        <v/>
      </c>
      <c r="C4" s="2" t="inlineStr">
        <is>
          <t>Formula</t>
        </is>
      </c>
    </row>
    <row r="5">
      <c r="A5" s="2" t="inlineStr">
        <is>
          <t>Stock availability impact</t>
        </is>
      </c>
      <c r="B5" s="3" t="n">
        <v>1149000</v>
      </c>
      <c r="C5" s="2" t="inlineStr">
        <is>
          <t>Estimated evidence</t>
        </is>
      </c>
    </row>
    <row r="6">
      <c r="A6" s="2" t="inlineStr">
        <is>
          <t>Outlet coverage impact</t>
        </is>
      </c>
      <c r="B6" s="3" t="n">
        <v>711000</v>
      </c>
      <c r="C6" s="2" t="inlineStr">
        <is>
          <t>Estimated evidence</t>
        </is>
      </c>
    </row>
    <row r="7">
      <c r="A7" s="2" t="inlineStr">
        <is>
          <t>Promotion execution gap</t>
        </is>
      </c>
      <c r="B7" s="3" t="n">
        <v>520000</v>
      </c>
      <c r="C7" s="2" t="inlineStr">
        <is>
          <t>Estimated evidence</t>
        </is>
      </c>
    </row>
    <row r="8">
      <c r="A8" s="2" t="inlineStr">
        <is>
          <t>Returns + damage + expiry</t>
        </is>
      </c>
      <c r="B8" s="3" t="n">
        <v>356000</v>
      </c>
      <c r="C8" s="2" t="inlineStr">
        <is>
          <t>Estimated evidence</t>
        </is>
      </c>
    </row>
    <row r="9">
      <c r="A9" s="2" t="inlineStr">
        <is>
          <t>Total identified impact</t>
        </is>
      </c>
      <c r="B9" s="3">
        <f>SUM(B5:B8)</f>
        <v/>
      </c>
      <c r="C9" s="2" t="inlineStr">
        <is>
          <t>Formula</t>
        </is>
      </c>
    </row>
    <row r="10">
      <c r="A10" s="2" t="n"/>
      <c r="B10" s="2" t="n"/>
      <c r="C10" s="2" t="n"/>
    </row>
    <row r="11">
      <c r="A11" s="2" t="inlineStr">
        <is>
          <t>Driver</t>
        </is>
      </c>
      <c r="B11" s="2" t="inlineStr">
        <is>
          <t>Impact (INR)</t>
        </is>
      </c>
      <c r="C11" s="2" t="inlineStr">
        <is>
          <t>Estimated Contribution</t>
        </is>
      </c>
    </row>
    <row r="12">
      <c r="A12" s="2" t="inlineStr">
        <is>
          <t>Stock availability</t>
        </is>
      </c>
      <c r="B12" s="3">
        <f>B5</f>
        <v/>
      </c>
      <c r="C12" s="4">
        <f>B12/$B$9</f>
        <v/>
      </c>
    </row>
    <row r="13">
      <c r="A13" s="2" t="inlineStr">
        <is>
          <t>Outlet coverage</t>
        </is>
      </c>
      <c r="B13" s="3">
        <f>B6</f>
        <v/>
      </c>
      <c r="C13" s="4">
        <f>B13/$B$9</f>
        <v/>
      </c>
    </row>
    <row r="14">
      <c r="A14" s="2" t="inlineStr">
        <is>
          <t>Promotion execution</t>
        </is>
      </c>
      <c r="B14" s="3">
        <f>B7</f>
        <v/>
      </c>
      <c r="C14" s="4">
        <f>B14/$B$9</f>
        <v/>
      </c>
    </row>
    <row r="15">
      <c r="A15" s="2" t="inlineStr">
        <is>
          <t>Returns/damage/expiry</t>
        </is>
      </c>
      <c r="B15" s="3">
        <f>B8</f>
        <v/>
      </c>
      <c r="C15" s="4">
        <f>B15/$B$9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2026-09-04T10:06:53Z</dcterms:created>
  <dcterms:modified xmlns:dcterms="http://purl.org/dc/terms/" xmlns:xsi="http://www.w3.org/2001/XMLSchema-instance" xsi:type="dcterms:W3CDTF">2026-09-04T10:10:57Z</dcterms:modified>
</cp:coreProperties>
</file>