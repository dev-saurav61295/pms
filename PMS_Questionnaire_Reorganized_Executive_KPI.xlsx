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org Summary" sheetId="1" state="visible" r:id="rId1"/>
    <sheet xmlns:r="http://schemas.openxmlformats.org/officeDocument/2006/relationships" name="Reorganized Questionnaire" sheetId="2" state="visible" r:id="rId2"/>
    <sheet xmlns:r="http://schemas.openxmlformats.org/officeDocument/2006/relationships" name="Executive KPI Questions" sheetId="3" state="visible" r:id="rId3"/>
    <sheet xmlns:r="http://schemas.openxmlformats.org/officeDocument/2006/relationships" name="Deferred Empty Tables" sheetId="4" state="visible" r:id="rId4"/>
    <sheet xmlns:r="http://schemas.openxmlformats.org/officeDocument/2006/relationships" name="Data Coverage" sheetId="5" state="visible" r:id="rId5"/>
    <sheet xmlns:r="http://schemas.openxmlformats.org/officeDocument/2006/relationships" name="QUESTION + QUERY" sheetId="6" state="visible" r:id="rId6"/>
    <sheet xmlns:r="http://schemas.openxmlformats.org/officeDocument/2006/relationships" name="Empty Table" sheetId="7" state="visible" r:id="rId7"/>
    <sheet xmlns:r="http://schemas.openxmlformats.org/officeDocument/2006/relationships" name="Mesh Agents" sheetId="8" state="visible" r:id="rId8"/>
    <sheet xmlns:r="http://schemas.openxmlformats.org/officeDocument/2006/relationships" name="Orbit Tool" sheetId="9" state="visible" r:id="rId9"/>
    <sheet xmlns:r="http://schemas.openxmlformats.org/officeDocument/2006/relationships" name="BKP" sheetId="10" state="visible" r:id="rId10"/>
  </sheets>
  <definedNames>
    <definedName name="_xlnm._FilterDatabase" localSheetId="1" hidden="1">'Reorganized Questionnaire'!$A$1:$V$151</definedName>
    <definedName name="_xlnm._FilterDatabase" localSheetId="2" hidden="1">'Executive KPI Questions'!$A$1:$V$45</definedName>
    <definedName name="_xlnm._FilterDatabase" localSheetId="3" hidden="1">'Deferred Empty Tables'!$A$1:$H$15</definedName>
    <definedName name="_xlnm._FilterDatabase" localSheetId="4" hidden="1">'Data Coverage'!$A$1:$E$59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  <scheme val="minor"/>
    </font>
    <font>
      <name val="Arial"/>
      <b val="1"/>
      <color rgb="FFFFFFFF"/>
    </font>
    <font>
      <name val="Arial"/>
      <color theme="1"/>
      <sz val="9"/>
    </font>
    <font>
      <name val="Calibri"/>
      <color theme="1"/>
      <sz val="11"/>
    </font>
    <font>
      <name val="Arial"/>
      <b val="1"/>
      <color theme="1"/>
      <scheme val="minor"/>
    </font>
    <font>
      <name val="Arial"/>
      <color theme="1"/>
      <scheme val="minor"/>
    </font>
    <font>
      <name val="Calibri"/>
      <b val="1"/>
      <color rgb="FFFFFFFF"/>
      <sz val="11"/>
    </font>
    <font>
      <name val="Calibri"/>
      <color rgb="FF666666"/>
      <sz val="11"/>
    </font>
    <font>
      <name val="Calibri"/>
      <b val="1"/>
      <color rgb="FF000000"/>
      <sz val="11"/>
    </font>
    <font>
      <name val="Calibri"/>
      <color rgb="FF000000"/>
      <sz val="11"/>
    </font>
    <font>
      <b val="1"/>
      <color rgb="00FFFFFF"/>
      <sz val="10"/>
    </font>
    <font>
      <color rgb="00000000"/>
      <sz val="9"/>
    </font>
    <font>
      <b val="1"/>
      <color rgb="00FFFFFF"/>
      <sz val="18"/>
    </font>
    <font>
      <i val="1"/>
      <color rgb="0017365D"/>
    </font>
    <font>
      <b val="1"/>
      <color rgb="00FFFFFF"/>
    </font>
  </fonts>
  <fills count="22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00000"/>
        <bgColor rgb="FFC00000"/>
      </patternFill>
    </fill>
    <fill>
      <patternFill patternType="solid">
        <fgColor rgb="FFFCD5D5"/>
        <bgColor rgb="FFFCD5D5"/>
      </patternFill>
    </fill>
    <fill>
      <patternFill patternType="solid">
        <fgColor rgb="FFFFF2CC"/>
        <bgColor rgb="FFFFF2CC"/>
      </patternFill>
    </fill>
    <fill>
      <patternFill patternType="solid">
        <fgColor rgb="FF17365D"/>
        <bgColor rgb="FF17365D"/>
      </patternFill>
    </fill>
    <fill>
      <patternFill patternType="solid">
        <fgColor rgb="FFE2F0D9"/>
        <bgColor rgb="FFE2F0D9"/>
      </patternFill>
    </fill>
    <fill>
      <patternFill patternType="solid">
        <fgColor rgb="FFE4DFEC"/>
        <bgColor rgb="FFE4DFEC"/>
      </patternFill>
    </fill>
    <fill>
      <patternFill patternType="solid">
        <fgColor rgb="FFD9EAF7"/>
        <bgColor rgb="FFD9EAF7"/>
      </patternFill>
    </fill>
    <fill>
      <patternFill patternType="solid">
        <fgColor rgb="FFFCE4D6"/>
        <bgColor rgb="FFFCE4D6"/>
      </patternFill>
    </fill>
    <fill>
      <patternFill patternType="solid">
        <fgColor rgb="FFF4CCCC"/>
        <bgColor rgb="FFF4CCCC"/>
      </patternFill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  <fill>
      <patternFill patternType="solid">
        <fgColor rgb="000F6B78"/>
      </patternFill>
    </fill>
    <fill>
      <patternFill patternType="solid">
        <fgColor rgb="007030A0"/>
      </patternFill>
    </fill>
    <fill>
      <patternFill patternType="solid">
        <fgColor rgb="00C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right" vertical="top" wrapText="1"/>
    </xf>
    <xf numFmtId="0" fontId="2" fillId="5" borderId="1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  <xf numFmtId="0" fontId="3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2" fillId="5" borderId="1" applyAlignment="1" pivotButton="0" quotePrefix="0" xfId="0">
      <alignment horizontal="right" vertical="top" wrapText="1"/>
    </xf>
    <xf numFmtId="0" fontId="6" fillId="6" borderId="0" applyAlignment="1" pivotButton="0" quotePrefix="0" xfId="0">
      <alignment horizontal="center"/>
    </xf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9" fillId="7" borderId="0" applyAlignment="1" pivotButton="0" quotePrefix="0" xfId="0">
      <alignment vertical="top"/>
    </xf>
    <xf numFmtId="0" fontId="9" fillId="8" borderId="0" applyAlignment="1" pivotButton="0" quotePrefix="0" xfId="0">
      <alignment vertical="top"/>
    </xf>
    <xf numFmtId="0" fontId="9" fillId="9" borderId="0" applyAlignment="1" pivotButton="0" quotePrefix="0" xfId="0">
      <alignment vertical="top"/>
    </xf>
    <xf numFmtId="0" fontId="9" fillId="10" borderId="0" applyAlignment="1" pivotButton="0" quotePrefix="0" xfId="0">
      <alignment vertical="top"/>
    </xf>
    <xf numFmtId="0" fontId="9" fillId="11" borderId="0" applyAlignment="1" pivotButton="0" quotePrefix="0" xfId="0">
      <alignment vertical="top"/>
    </xf>
    <xf numFmtId="0" fontId="9" fillId="0" borderId="0" applyAlignment="1" pivotButton="0" quotePrefix="0" xfId="0">
      <alignment vertical="bottom"/>
    </xf>
    <xf numFmtId="0" fontId="0" fillId="0" borderId="0" pivotButton="0" quotePrefix="0" xfId="0"/>
    <xf numFmtId="0" fontId="12" fillId="12" borderId="0" pivotButton="0" quotePrefix="0" xfId="0"/>
    <xf numFmtId="0" fontId="13" fillId="14" borderId="0" applyAlignment="1" pivotButton="0" quotePrefix="0" xfId="0">
      <alignment vertical="center" wrapText="1"/>
    </xf>
    <xf numFmtId="0" fontId="14" fillId="1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4" fillId="19" borderId="0" applyAlignment="1" pivotButton="0" quotePrefix="0" xfId="0">
      <alignment vertical="center" wrapText="1"/>
    </xf>
    <xf numFmtId="0" fontId="14" fillId="20" borderId="0" pivotButton="0" quotePrefix="0" xfId="0"/>
    <xf numFmtId="0" fontId="0" fillId="0" borderId="0" applyAlignment="1" pivotButton="0" quotePrefix="0" xfId="0">
      <alignment wrapText="1"/>
    </xf>
    <xf numFmtId="0" fontId="10" fillId="12" borderId="0" applyAlignment="1" pivotButton="0" quotePrefix="0" xfId="0">
      <alignment horizontal="center" vertical="center" wrapText="1"/>
    </xf>
    <xf numFmtId="0" fontId="11" fillId="13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1" fillId="14" borderId="0" applyAlignment="1" pivotButton="0" quotePrefix="0" xfId="0">
      <alignment vertical="top" wrapText="1"/>
    </xf>
    <xf numFmtId="0" fontId="11" fillId="15" borderId="0" applyAlignment="1" pivotButton="0" quotePrefix="0" xfId="0">
      <alignment vertical="top" wrapText="1"/>
    </xf>
    <xf numFmtId="0" fontId="11" fillId="16" borderId="0" applyAlignment="1" pivotButton="0" quotePrefix="0" xfId="0">
      <alignment vertical="top" wrapText="1"/>
    </xf>
    <xf numFmtId="0" fontId="11" fillId="17" borderId="0" applyAlignment="1" pivotButton="0" quotePrefix="0" xfId="0">
      <alignment vertical="top" wrapText="1"/>
    </xf>
    <xf numFmtId="0" fontId="11" fillId="18" borderId="0" applyAlignment="1" pivotButton="0" quotePrefix="0" xfId="0">
      <alignment vertical="top" wrapText="1"/>
    </xf>
    <xf numFmtId="0" fontId="11" fillId="21" borderId="0" applyAlignment="1" pivotButton="0" quotePrefix="0" xfId="0">
      <alignment vertical="top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9" defaultPivotStyle="PivotStyleLight16">
    <tableStyle name="Orbit Tool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Mesh Agent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Active Questions by Complexity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'Reorg Summary'!E5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'Reorg Summary'!$D$6:$D$9</f>
            </numRef>
          </cat>
          <val>
            <numRef>
              <f>'Reorg Summary'!$E$6:$E$9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Complexity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Questions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10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organizedQuestionnaire" displayName="ReorganizedQuestionnaire" ref="A1:V151" headerRowCount="1">
  <autoFilter ref="A1:V151"/>
  <tableColumns count="22">
    <tableColumn id="1" name="Source"/>
    <tableColumn id="2" name="Original ID"/>
    <tableColumn id="3" name="Audience"/>
    <tableColumn id="4" name="Executive Priority"/>
    <tableColumn id="5" name="PMS Area"/>
    <tableColumn id="6" name="Question Type"/>
    <tableColumn id="7" name="Complexity Tag"/>
    <tableColumn id="8" name="Canonical Intent"/>
    <tableColumn id="9" name="Primary Question"/>
    <tableColumn id="10" name="Alternative Phrasing 1"/>
    <tableColumn id="11" name="Alternative Phrasing 2"/>
    <tableColumn id="12" name="Required Parameters"/>
    <tableColumn id="13" name="Business Decision / Value"/>
    <tableColumn id="14" name="KPI / Derivation Logic"/>
    <tableColumn id="15" name="Relevant Populated Tables"/>
    <tableColumn id="16" name="Data Readiness"/>
    <tableColumn id="17" name="Query Strategy"/>
    <tableColumn id="18" name="LLM Error Risk"/>
    <tableColumn id="19" name="Recommended Execution / Cache"/>
    <tableColumn id="20" name="Query Mapping Status"/>
    <tableColumn id="21" name="SQL Query (Existing or Recovered)"/>
    <tableColumn id="22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xecutiveKPIQuestions" displayName="ExecutiveKPIQuestions" ref="A1:V45" headerRowCount="1">
  <autoFilter ref="A1:V45"/>
  <tableColumns count="22">
    <tableColumn id="1" name="Source"/>
    <tableColumn id="2" name="Original ID"/>
    <tableColumn id="3" name="Audience"/>
    <tableColumn id="4" name="Executive Priority"/>
    <tableColumn id="5" name="PMS Area"/>
    <tableColumn id="6" name="Question Type"/>
    <tableColumn id="7" name="Complexity Tag"/>
    <tableColumn id="8" name="Canonical Intent"/>
    <tableColumn id="9" name="Primary Question"/>
    <tableColumn id="10" name="Alternative Phrasing 1"/>
    <tableColumn id="11" name="Alternative Phrasing 2"/>
    <tableColumn id="12" name="Required Parameters"/>
    <tableColumn id="13" name="Business Decision / Value"/>
    <tableColumn id="14" name="KPI / Derivation Logic"/>
    <tableColumn id="15" name="Relevant Populated Tables"/>
    <tableColumn id="16" name="Data Readiness"/>
    <tableColumn id="17" name="Query Strategy"/>
    <tableColumn id="18" name="LLM Error Risk"/>
    <tableColumn id="19" name="Recommended Execution / Cache"/>
    <tableColumn id="20" name="Query Mapping Status"/>
    <tableColumn id="21" name="SQL Query (Existing or Recovered)"/>
    <tableColumn id="22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ferredEmptyQuestions" displayName="DeferredEmptyQuestions" ref="A1:H15" headerRowCount="1">
  <autoFilter ref="A1:H15"/>
  <tableColumns count="8">
    <tableColumn id="1" name="Original ID"/>
    <tableColumn id="2" name="PMS Area"/>
    <tableColumn id="3" name="Canonical Intent"/>
    <tableColumn id="4" name="Primary Question"/>
    <tableColumn id="5" name="Empty Tables"/>
    <tableColumn id="6" name="Reason"/>
    <tableColumn id="7" name="Recommended Replacement"/>
    <tableColumn id="8" name="Original Mapping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esh_Agents" displayName="Mesh_Agents" ref="A1:E11" headerRowCount="1">
  <tableColumns count="5">
    <tableColumn id="1" name="S. No."/>
    <tableColumn id="2" name="Agent Name"/>
    <tableColumn id="3" name="Purpose"/>
    <tableColumn id="4" name="Main Data Sources"/>
    <tableColumn id="5" name="Example User Request"/>
  </tableColumns>
  <tableStyleInfo name="Mesh Agents-style" showFirstColumn="1" showLastColumn="1" showRowStripes="1" showColumnStripes="0"/>
</table>
</file>

<file path=xl/tables/table5.xml><?xml version="1.0" encoding="utf-8"?>
<table xmlns="http://schemas.openxmlformats.org/spreadsheetml/2006/main" id="5" name="Orbit_Tool" displayName="Orbit_Tool" ref="A1:E16" headerRowCount="1">
  <tableColumns count="5">
    <tableColumn id="1" name="S. No."/>
    <tableColumn id="2" name="Tool Name"/>
    <tableColumn id="3" name="Inputs"/>
    <tableColumn id="4" name="Output"/>
    <tableColumn id="5" name="Example Use"/>
  </tableColumns>
  <tableStyleInfo name="Orbit Tool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44" customWidth="1" style="38" min="1" max="1"/>
    <col width="14" customWidth="1" style="38" min="2" max="2"/>
    <col width="4" customWidth="1" style="38" min="3" max="3"/>
    <col width="22" customWidth="1" style="38" min="4" max="4"/>
    <col width="14" customWidth="1" style="38" min="5" max="5"/>
    <col width="20" customWidth="1" style="38" min="6" max="6"/>
  </cols>
  <sheetData>
    <row r="1">
      <c r="A1" s="39" t="inlineStr">
        <is>
          <t>PMS Questionnaire Reorganization – Executive &amp; KPI Focus</t>
        </is>
      </c>
    </row>
    <row r="2">
      <c r="A2" s="40" t="inlineStr">
        <is>
          <t>The active catalogue retains simple/direct questions with tags, replaces recoverable empty-table dependencies, defers unsupported modules, and adds high-value executive/KPI questions based on populated tables.</t>
        </is>
      </c>
    </row>
    <row r="3"/>
    <row r="5" ht="24" customHeight="1" s="38">
      <c r="A5" s="41" t="inlineStr">
        <is>
          <t>Metric</t>
        </is>
      </c>
      <c r="B5" s="41" t="inlineStr">
        <is>
          <t>Count</t>
        </is>
      </c>
      <c r="C5" s="42" t="n"/>
      <c r="D5" s="43" t="inlineStr">
        <is>
          <t>Complexity</t>
        </is>
      </c>
      <c r="E5" s="43" t="inlineStr">
        <is>
          <t>Count</t>
        </is>
      </c>
    </row>
    <row r="6" ht="24" customHeight="1" s="38">
      <c r="A6" s="42" t="inlineStr">
        <is>
          <t>Active questionnaire questions</t>
        </is>
      </c>
      <c r="B6" s="42">
        <f>COUNTA('Reorganized Questionnaire'!I:I)-1</f>
        <v/>
      </c>
      <c r="C6" s="42" t="n"/>
      <c r="D6" s="42" t="inlineStr">
        <is>
          <t>Simple</t>
        </is>
      </c>
      <c r="E6" s="42">
        <f>COUNTIF('Reorganized Questionnaire'!G:G,"Simple")</f>
        <v/>
      </c>
    </row>
    <row r="7" ht="24" customHeight="1" s="38">
      <c r="A7" s="42" t="inlineStr">
        <is>
          <t>Retained or reworked existing questions</t>
        </is>
      </c>
      <c r="B7" s="42">
        <f>COUNTIF('Reorganized Questionnaire'!A:A,"Existing*")</f>
        <v/>
      </c>
      <c r="C7" s="42" t="n"/>
      <c r="D7" s="42" t="inlineStr">
        <is>
          <t>Moderate</t>
        </is>
      </c>
      <c r="E7" s="42">
        <f>COUNTIF('Reorganized Questionnaire'!G:G,"Moderate")</f>
        <v/>
      </c>
    </row>
    <row r="8" ht="24" customHeight="1" s="38">
      <c r="A8" s="42" t="inlineStr">
        <is>
          <t>New executive/KPI questions</t>
        </is>
      </c>
      <c r="B8" s="42">
        <f>COUNTIF('Reorganized Questionnaire'!A:A,"New*")</f>
        <v/>
      </c>
      <c r="C8" s="42" t="n"/>
      <c r="D8" s="42" t="inlineStr">
        <is>
          <t>Complex</t>
        </is>
      </c>
      <c r="E8" s="42">
        <f>COUNTIF('Reorganized Questionnaire'!G:G,"Complex")</f>
        <v/>
      </c>
    </row>
    <row r="9" ht="24" customHeight="1" s="38">
      <c r="A9" s="42" t="inlineStr">
        <is>
          <t>Deferred due to empty tables</t>
        </is>
      </c>
      <c r="B9" s="42">
        <f>COUNTA('Deferred Empty Tables'!A:A)-1</f>
        <v/>
      </c>
      <c r="C9" s="42" t="n"/>
      <c r="D9" s="42" t="inlineStr">
        <is>
          <t>Very Complex</t>
        </is>
      </c>
      <c r="E9" s="42">
        <f>COUNTIF('Reorganized Questionnaire'!G:G,"Very Complex")</f>
        <v/>
      </c>
    </row>
    <row r="10" ht="24" customHeight="1" s="38">
      <c r="A10" s="42" t="inlineStr">
        <is>
          <t>High executive-priority questions</t>
        </is>
      </c>
      <c r="B10" s="42">
        <f>COUNTIF('Reorganized Questionnaire'!D:D,"High")</f>
        <v/>
      </c>
      <c r="C10" s="42" t="n"/>
      <c r="D10" s="42" t="n"/>
      <c r="E10" s="42" t="n"/>
    </row>
    <row r="11" ht="24" customHeight="1" s="38">
      <c r="A11" s="42" t="inlineStr">
        <is>
          <t>High LLM-error-risk questions</t>
        </is>
      </c>
      <c r="B11" s="42">
        <f>COUNTIF('Reorganized Questionnaire'!R:R,"High")</f>
        <v/>
      </c>
      <c r="C11" s="42" t="n"/>
      <c r="D11" s="42" t="n"/>
      <c r="E11" s="42" t="n"/>
    </row>
    <row r="14">
      <c r="A14" s="44" t="inlineStr">
        <is>
          <t>Implementation principle</t>
        </is>
      </c>
    </row>
    <row r="15">
      <c r="A15" s="45" t="inlineStr">
        <is>
          <t>• Simple questions: use FAQ Tool Call Binding and parameterized SQL; execute against live data.</t>
        </is>
      </c>
    </row>
    <row r="16">
      <c r="A16" s="45" t="inlineStr">
        <is>
          <t>• Complex KPI questions: implement fixed formulas and joins in an Orbit KPI/Watchlist Tool. Do not let the LLM invent calculations.</t>
        </is>
      </c>
    </row>
    <row r="17">
      <c r="A17" s="45" t="inlineStr">
        <is>
          <t>• Mesh can explain, compare, and narrate results only after the governed tool computes the metrics.</t>
        </is>
      </c>
    </row>
    <row r="18">
      <c r="A18" s="45" t="inlineStr">
        <is>
          <t>• Questions depending on empty milestone, estimation, or team tables remain deferred until data is populated.</t>
        </is>
      </c>
    </row>
  </sheetData>
  <mergeCells count="7">
    <mergeCell ref="A16:F16"/>
    <mergeCell ref="A2:F3"/>
    <mergeCell ref="A14:F14"/>
    <mergeCell ref="A1:F1"/>
    <mergeCell ref="A17:F17"/>
    <mergeCell ref="A18:F18"/>
    <mergeCell ref="A15:F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V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38" min="1" max="1"/>
    <col width="11" customWidth="1" style="38" min="2" max="2"/>
    <col width="30" customWidth="1" style="38" min="3" max="3"/>
    <col width="13" customWidth="1" style="38" min="4" max="4"/>
    <col width="22" customWidth="1" style="38" min="5" max="5"/>
    <col width="24" customWidth="1" style="38" min="6" max="6"/>
    <col width="15" customWidth="1" style="38" min="7" max="7"/>
    <col width="31" customWidth="1" style="38" min="8" max="8"/>
    <col width="46" customWidth="1" style="38" min="9" max="9"/>
    <col width="38" customWidth="1" style="38" min="10" max="10"/>
    <col width="38" customWidth="1" style="38" min="11" max="11"/>
    <col width="25" customWidth="1" style="38" min="12" max="12"/>
    <col width="36" customWidth="1" style="38" min="13" max="13"/>
    <col width="62" customWidth="1" style="38" min="14" max="14"/>
    <col width="55" customWidth="1" style="38" min="15" max="15"/>
    <col width="28" customWidth="1" style="38" min="16" max="16"/>
    <col width="36" customWidth="1" style="38" min="17" max="17"/>
    <col width="15" customWidth="1" style="38" min="18" max="18"/>
    <col width="58" customWidth="1" style="38" min="19" max="19"/>
    <col width="32" customWidth="1" style="38" min="20" max="20"/>
    <col width="55" customWidth="1" style="38" min="21" max="21"/>
    <col width="55" customWidth="1" style="38" min="22" max="22"/>
  </cols>
  <sheetData>
    <row r="1" ht="34" customHeight="1" s="38">
      <c r="A1" s="46" t="inlineStr">
        <is>
          <t>Source</t>
        </is>
      </c>
      <c r="B1" s="46" t="inlineStr">
        <is>
          <t>Original ID</t>
        </is>
      </c>
      <c r="C1" s="46" t="inlineStr">
        <is>
          <t>Audience</t>
        </is>
      </c>
      <c r="D1" s="46" t="inlineStr">
        <is>
          <t>Executive Priority</t>
        </is>
      </c>
      <c r="E1" s="46" t="inlineStr">
        <is>
          <t>PMS Area</t>
        </is>
      </c>
      <c r="F1" s="46" t="inlineStr">
        <is>
          <t>Question Type</t>
        </is>
      </c>
      <c r="G1" s="46" t="inlineStr">
        <is>
          <t>Complexity Tag</t>
        </is>
      </c>
      <c r="H1" s="46" t="inlineStr">
        <is>
          <t>Canonical Intent</t>
        </is>
      </c>
      <c r="I1" s="46" t="inlineStr">
        <is>
          <t>Primary Question</t>
        </is>
      </c>
      <c r="J1" s="46" t="inlineStr">
        <is>
          <t>Alternative Phrasing 1</t>
        </is>
      </c>
      <c r="K1" s="46" t="inlineStr">
        <is>
          <t>Alternative Phrasing 2</t>
        </is>
      </c>
      <c r="L1" s="46" t="inlineStr">
        <is>
          <t>Required Parameters</t>
        </is>
      </c>
      <c r="M1" s="46" t="inlineStr">
        <is>
          <t>Business Decision / Value</t>
        </is>
      </c>
      <c r="N1" s="46" t="inlineStr">
        <is>
          <t>KPI / Derivation Logic</t>
        </is>
      </c>
      <c r="O1" s="46" t="inlineStr">
        <is>
          <t>Relevant Populated Tables</t>
        </is>
      </c>
      <c r="P1" s="46" t="inlineStr">
        <is>
          <t>Data Readiness</t>
        </is>
      </c>
      <c r="Q1" s="46" t="inlineStr">
        <is>
          <t>Query Strategy</t>
        </is>
      </c>
      <c r="R1" s="46" t="inlineStr">
        <is>
          <t>LLM Error Risk</t>
        </is>
      </c>
      <c r="S1" s="46" t="inlineStr">
        <is>
          <t>Recommended Execution / Cache</t>
        </is>
      </c>
      <c r="T1" s="46" t="inlineStr">
        <is>
          <t>Query Mapping Status</t>
        </is>
      </c>
      <c r="U1" s="46" t="inlineStr">
        <is>
          <t>SQL Query (Existing or Recovered)</t>
        </is>
      </c>
      <c r="V1" s="46" t="inlineStr">
        <is>
          <t>Notes</t>
        </is>
      </c>
    </row>
    <row r="2" ht="72" customHeight="1" s="38">
      <c r="A2" s="47" t="inlineStr">
        <is>
          <t>Existing – Retained</t>
        </is>
      </c>
      <c r="B2" s="48" t="n">
        <v>1</v>
      </c>
      <c r="C2" s="48" t="inlineStr">
        <is>
          <t>Portfolio Head / Delivery Manager / PM</t>
        </is>
      </c>
      <c r="D2" s="48" t="inlineStr">
        <is>
          <t>Low</t>
        </is>
      </c>
      <c r="E2" s="48" t="inlineStr">
        <is>
          <t>Projects</t>
        </is>
      </c>
      <c r="F2" s="48" t="inlineStr">
        <is>
          <t>Simple Lookup / Filter</t>
        </is>
      </c>
      <c r="G2" s="47" t="inlineStr">
        <is>
          <t>Simple</t>
        </is>
      </c>
      <c r="H2" s="48" t="inlineStr">
        <is>
          <t>my_active_projects</t>
        </is>
      </c>
      <c r="I2" s="48" t="inlineStr">
        <is>
          <t>What are my active projects?</t>
        </is>
      </c>
      <c r="J2" s="48" t="inlineStr">
        <is>
          <t>Show the projects I am currently working on.</t>
        </is>
      </c>
      <c r="K2" s="48" t="inlineStr">
        <is>
          <t>List my ongoing projects.</t>
        </is>
      </c>
      <c r="L2" s="48" t="inlineStr">
        <is>
          <t>current_user</t>
        </is>
      </c>
      <c r="M2" s="48" t="inlineStr">
        <is>
          <t>Fast operational lookup and drill-down.</t>
        </is>
      </c>
      <c r="N2" s="48" t="inlineStr">
        <is>
          <t>Direct lookup/filter; no derived KPI.</t>
        </is>
      </c>
      <c r="O2" s="48" t="inlineStr">
        <is>
          <t>tbl_projects; tbl_project_users</t>
        </is>
      </c>
      <c r="P2" s="48" t="inlineStr">
        <is>
          <t>N/A</t>
        </is>
      </c>
      <c r="Q2" s="48" t="inlineStr">
        <is>
          <t>Parameterized lookup/filter</t>
        </is>
      </c>
      <c r="R2" s="47" t="inlineStr">
        <is>
          <t>Low</t>
        </is>
      </c>
      <c r="S2" s="48" t="inlineStr">
        <is>
          <t>FAQ Tool Call Binding + parameterized SQL; cache intent/SQL, not live response</t>
        </is>
      </c>
      <c r="T2" s="48" t="inlineStr">
        <is>
          <t>Not Mapped – Business Rule Required</t>
        </is>
      </c>
      <c r="U2" s="48" t="inlineStr">
        <is>
          <t>SELECT DISTINCT
    p.project_id,
    p.project_unique_id,
    p.project_key,
    p.title,
    p.start_date,
    p.end_date,
    ps.status_name,
    st.stage_name,
    p.priority,
    p.rag
FROM tbl_projects p
JOIN tbl_project_users pu
    ON p.project_id = pu.project_id
LEFT JOIN tbl_project_status ps
    ON ps.status_id = p.project_status_id
LEFT JOIN tbl_project_stages st
    ON st.stage_id = p.project_stage_id
WHERE pu.user_id = 3066
  AND pu.request_status = 'A'
  AND pu.status = 1
  AND p.status = 1
  AND p.archive = 0
ORDER BY p.title ASC</t>
        </is>
      </c>
      <c r="V2" s="48" t="inlineStr">
        <is>
          <t>Define whether “my” includes member, PM, owner, or task assignee.</t>
        </is>
      </c>
    </row>
    <row r="3" ht="72" customHeight="1" s="38">
      <c r="A3" s="47" t="inlineStr">
        <is>
          <t>Existing – Retained</t>
        </is>
      </c>
      <c r="B3" s="48" t="n">
        <v>2</v>
      </c>
      <c r="C3" s="48" t="inlineStr">
        <is>
          <t>Portfolio Head / Delivery Manager / PM</t>
        </is>
      </c>
      <c r="D3" s="48" t="inlineStr">
        <is>
          <t>Low</t>
        </is>
      </c>
      <c r="E3" s="48" t="inlineStr">
        <is>
          <t>Projects</t>
        </is>
      </c>
      <c r="F3" s="48" t="inlineStr">
        <is>
          <t>Simple Lookup / Filter</t>
        </is>
      </c>
      <c r="G3" s="47" t="inlineStr">
        <is>
          <t>Simple</t>
        </is>
      </c>
      <c r="H3" s="48" t="inlineStr">
        <is>
          <t>projects_managed_by_me</t>
        </is>
      </c>
      <c r="I3" s="48" t="inlineStr">
        <is>
          <t>Which projects am I managing?</t>
        </is>
      </c>
      <c r="J3" s="48" t="inlineStr">
        <is>
          <t>Show projects where I am the project manager.</t>
        </is>
      </c>
      <c r="K3" s="48" t="inlineStr">
        <is>
          <t>List projects managed by me.</t>
        </is>
      </c>
      <c r="L3" s="48" t="inlineStr">
        <is>
          <t>current_user</t>
        </is>
      </c>
      <c r="M3" s="48" t="inlineStr">
        <is>
          <t>Fast operational lookup and drill-down.</t>
        </is>
      </c>
      <c r="N3" s="48" t="inlineStr">
        <is>
          <t>Direct lookup/filter; no derived KPI.</t>
        </is>
      </c>
      <c r="O3" s="48" t="inlineStr">
        <is>
          <t>tbl_projects.pm_user_id</t>
        </is>
      </c>
      <c r="P3" s="48" t="inlineStr">
        <is>
          <t>Data Available</t>
        </is>
      </c>
      <c r="Q3" s="48" t="inlineStr">
        <is>
          <t>Parameterized lookup/filter</t>
        </is>
      </c>
      <c r="R3" s="47" t="inlineStr">
        <is>
          <t>Low</t>
        </is>
      </c>
      <c r="S3" s="48" t="inlineStr">
        <is>
          <t>FAQ Tool Call Binding + parameterized SQL; cache intent/SQL, not live response</t>
        </is>
      </c>
      <c r="T3" s="48" t="inlineStr">
        <is>
          <t>Mapped – Direct Schema</t>
        </is>
      </c>
      <c r="U3" s="48" t="inlineStr">
        <is>
          <t>SELECT p.project_id, p.project_unique_id, p.project_key, p.title, p.start_date, p.end_date, ps.status_name, st.stage_name, p.priority, p.rag FROM tbl_projects p LEFT JOIN tbl_project_status ps ON ps.status_id = p.project_status_id LEFT JOIN tbl_project_stages st ON st.stage_id = p.project_stage_id WHERE p.pm_user_id = :current_user_id AND p.status = 1 AND p.archive = 0 ORDER BY p.end_date, p.title;</t>
        </is>
      </c>
      <c r="V3" s="48" t="inlineStr">
        <is>
          <t>Use PM field; confirm whether project_owner_id also counts.</t>
        </is>
      </c>
    </row>
    <row r="4" ht="72" customHeight="1" s="38">
      <c r="A4" s="47" t="inlineStr">
        <is>
          <t>Existing – Retained</t>
        </is>
      </c>
      <c r="B4" s="48" t="n">
        <v>3</v>
      </c>
      <c r="C4" s="48" t="inlineStr">
        <is>
          <t>Portfolio Head / Delivery Manager / PM</t>
        </is>
      </c>
      <c r="D4" s="48" t="inlineStr">
        <is>
          <t>Low</t>
        </is>
      </c>
      <c r="E4" s="48" t="inlineStr">
        <is>
          <t>Projects</t>
        </is>
      </c>
      <c r="F4" s="48" t="inlineStr">
        <is>
          <t>Simple Lookup / Filter</t>
        </is>
      </c>
      <c r="G4" s="47" t="inlineStr">
        <is>
          <t>Simple</t>
        </is>
      </c>
      <c r="H4" s="48" t="inlineStr">
        <is>
          <t>projects_owned_by_me</t>
        </is>
      </c>
      <c r="I4" s="48" t="inlineStr">
        <is>
          <t>Which projects do I own?</t>
        </is>
      </c>
      <c r="J4" s="48" t="inlineStr">
        <is>
          <t>Show projects where I am the owner.</t>
        </is>
      </c>
      <c r="K4" s="48" t="inlineStr">
        <is>
          <t>List projects owned by me.</t>
        </is>
      </c>
      <c r="L4" s="48" t="inlineStr">
        <is>
          <t>current_user</t>
        </is>
      </c>
      <c r="M4" s="48" t="inlineStr">
        <is>
          <t>Fast operational lookup and drill-down.</t>
        </is>
      </c>
      <c r="N4" s="48" t="inlineStr">
        <is>
          <t>Direct lookup/filter; no derived KPI.</t>
        </is>
      </c>
      <c r="O4" s="48" t="inlineStr">
        <is>
          <t>tbl_projects.project_owner_id</t>
        </is>
      </c>
      <c r="P4" s="48" t="inlineStr">
        <is>
          <t>Data Available</t>
        </is>
      </c>
      <c r="Q4" s="48" t="inlineStr">
        <is>
          <t>Parameterized lookup/filter</t>
        </is>
      </c>
      <c r="R4" s="47" t="inlineStr">
        <is>
          <t>Low</t>
        </is>
      </c>
      <c r="S4" s="48" t="inlineStr">
        <is>
          <t>FAQ Tool Call Binding + parameterized SQL; cache intent/SQL, not live response</t>
        </is>
      </c>
      <c r="T4" s="48" t="inlineStr">
        <is>
          <t>Mapped – Direct Schema</t>
        </is>
      </c>
      <c r="U4" s="48" t="inlineStr">
        <is>
          <t>SELECT p.project_id, p.project_unique_id, p.project_key, p.title, p.start_date, p.end_date, ps.status_name, st.stage_name, p.priority, p.rag FROM tbl_projects p LEFT JOIN tbl_project_status ps ON ps.status_id = p.project_status_id LEFT JOIN tbl_project_stages st ON st.stage_id = p.project_stage_id WHERE p.project_owner_id = :current_user_id AND p.status = 1 AND p.archive = 0 ORDER BY p.end_date, p.title;</t>
        </is>
      </c>
      <c r="V4" s="48" t="inlineStr">
        <is>
          <t>Distinct from project manager.</t>
        </is>
      </c>
    </row>
    <row r="5" ht="72" customHeight="1" s="38">
      <c r="A5" s="47" t="inlineStr">
        <is>
          <t>Existing – Retained</t>
        </is>
      </c>
      <c r="B5" s="48" t="n">
        <v>4</v>
      </c>
      <c r="C5" s="48" t="inlineStr">
        <is>
          <t>Portfolio Head / Delivery Manager / PM</t>
        </is>
      </c>
      <c r="D5" s="48" t="inlineStr">
        <is>
          <t>Medium</t>
        </is>
      </c>
      <c r="E5" s="48" t="inlineStr">
        <is>
          <t>Projects</t>
        </is>
      </c>
      <c r="F5" s="48" t="inlineStr">
        <is>
          <t>Simple Lookup / Filter</t>
        </is>
      </c>
      <c r="G5" s="49" t="inlineStr">
        <is>
          <t>Moderate</t>
        </is>
      </c>
      <c r="H5" s="48" t="inlineStr">
        <is>
          <t>project_details</t>
        </is>
      </c>
      <c r="I5" s="48" t="inlineStr">
        <is>
          <t>Show details of project :project_name.</t>
        </is>
      </c>
      <c r="J5" s="48" t="inlineStr">
        <is>
          <t>Give me the project information for :project_name.</t>
        </is>
      </c>
      <c r="K5" s="48" t="inlineStr">
        <is>
          <t>Open the summary of :project_name.</t>
        </is>
      </c>
      <c r="L5" s="48" t="inlineStr">
        <is>
          <t>project_name</t>
        </is>
      </c>
      <c r="M5" s="48" t="inlineStr">
        <is>
          <t>Fast operational lookup and drill-down.</t>
        </is>
      </c>
      <c r="N5" s="48" t="inlineStr">
        <is>
          <t>Direct lookup/filter; no derived KPI.</t>
        </is>
      </c>
      <c r="O5" s="48" t="inlineStr">
        <is>
          <t>tbl_projects</t>
        </is>
      </c>
      <c r="P5" s="48" t="inlineStr">
        <is>
          <t>N/A</t>
        </is>
      </c>
      <c r="Q5" s="48" t="inlineStr">
        <is>
          <t>Parameterized lookup/filter</t>
        </is>
      </c>
      <c r="R5" s="50" t="inlineStr">
        <is>
          <t>Medium</t>
        </is>
      </c>
      <c r="S5" s="48" t="inlineStr">
        <is>
          <t>FAQ/NL2SQL cached template or Orbit aggregation tool; execute on live data</t>
        </is>
      </c>
      <c r="T5" s="48" t="inlineStr">
        <is>
          <t>Not Mapped – Schema Ambiguous</t>
        </is>
      </c>
      <c r="U5" s="48" t="n"/>
      <c r="V5" s="48" t="inlineStr">
        <is>
          <t>Project-name matching and duplicate-title handling required.</t>
        </is>
      </c>
    </row>
    <row r="6" ht="72" customHeight="1" s="38">
      <c r="A6" s="47" t="inlineStr">
        <is>
          <t>Existing – Retained</t>
        </is>
      </c>
      <c r="B6" s="48" t="n">
        <v>5</v>
      </c>
      <c r="C6" s="48" t="inlineStr">
        <is>
          <t>Portfolio Head / Delivery Manager / PM</t>
        </is>
      </c>
      <c r="D6" s="48" t="inlineStr">
        <is>
          <t>Low</t>
        </is>
      </c>
      <c r="E6" s="48" t="inlineStr">
        <is>
          <t>Projects</t>
        </is>
      </c>
      <c r="F6" s="48" t="inlineStr">
        <is>
          <t>Simple Lookup / Filter</t>
        </is>
      </c>
      <c r="G6" s="47" t="inlineStr">
        <is>
          <t>Simple</t>
        </is>
      </c>
      <c r="H6" s="48" t="inlineStr">
        <is>
          <t>project_status</t>
        </is>
      </c>
      <c r="I6" s="48" t="inlineStr">
        <is>
          <t>What is the status of project :project_name?</t>
        </is>
      </c>
      <c r="J6" s="48" t="inlineStr">
        <is>
          <t>Show the current status of :project_name.</t>
        </is>
      </c>
      <c r="K6" s="48" t="inlineStr">
        <is>
          <t>Is :project_name active or completed?</t>
        </is>
      </c>
      <c r="L6" s="48" t="inlineStr">
        <is>
          <t>project_name</t>
        </is>
      </c>
      <c r="M6" s="48" t="inlineStr">
        <is>
          <t>Fast operational lookup and drill-down.</t>
        </is>
      </c>
      <c r="N6" s="48" t="inlineStr">
        <is>
          <t>Direct lookup/filter; no derived KPI.</t>
        </is>
      </c>
      <c r="O6" s="48" t="inlineStr">
        <is>
          <t>tbl_projects; tbl_project_status</t>
        </is>
      </c>
      <c r="P6" s="48" t="inlineStr">
        <is>
          <t>Data Available</t>
        </is>
      </c>
      <c r="Q6" s="48" t="inlineStr">
        <is>
          <t>Parameterized lookup/filter</t>
        </is>
      </c>
      <c r="R6" s="47" t="inlineStr">
        <is>
          <t>Low</t>
        </is>
      </c>
      <c r="S6" s="48" t="inlineStr">
        <is>
          <t>FAQ Tool Call Binding + parameterized SQL; cache intent/SQL, not live response</t>
        </is>
      </c>
      <c r="T6" s="48" t="inlineStr">
        <is>
          <t>Mapped – Direct Schema</t>
        </is>
      </c>
      <c r="U6" s="48" t="inlineStr">
        <is>
          <t>SELECT p.project_id, p.project_key, p.title, p.project_status_id, ps.status_name, ps.color_code FROM tbl_projects p LEFT JOIN tbl_project_status ps ON ps.status_id = p.project_status_id WHERE p.title = :project_name AND p.status = 1 AND p.archive = 0 ORDER BY p.project_id;</t>
        </is>
      </c>
      <c r="V6" s="48" t="inlineStr">
        <is>
          <t>Lookup master data required.</t>
        </is>
      </c>
    </row>
    <row r="7" ht="72" customHeight="1" s="38">
      <c r="A7" s="47" t="inlineStr">
        <is>
          <t>Existing – Retained</t>
        </is>
      </c>
      <c r="B7" s="48" t="n">
        <v>6</v>
      </c>
      <c r="C7" s="48" t="inlineStr">
        <is>
          <t>Portfolio Head / Delivery Manager / PM</t>
        </is>
      </c>
      <c r="D7" s="48" t="inlineStr">
        <is>
          <t>Low</t>
        </is>
      </c>
      <c r="E7" s="48" t="inlineStr">
        <is>
          <t>Projects</t>
        </is>
      </c>
      <c r="F7" s="48" t="inlineStr">
        <is>
          <t>Simple Lookup / Filter</t>
        </is>
      </c>
      <c r="G7" s="47" t="inlineStr">
        <is>
          <t>Simple</t>
        </is>
      </c>
      <c r="H7" s="48" t="inlineStr">
        <is>
          <t>project_stage</t>
        </is>
      </c>
      <c r="I7" s="48" t="inlineStr">
        <is>
          <t>What stage is :project_name in?</t>
        </is>
      </c>
      <c r="J7" s="48" t="inlineStr">
        <is>
          <t>Show the current stage of :project_name.</t>
        </is>
      </c>
      <c r="K7" s="48" t="inlineStr">
        <is>
          <t>Which delivery stage has :project_name reached?</t>
        </is>
      </c>
      <c r="L7" s="48" t="inlineStr">
        <is>
          <t>project_name</t>
        </is>
      </c>
      <c r="M7" s="48" t="inlineStr">
        <is>
          <t>Fast operational lookup and drill-down.</t>
        </is>
      </c>
      <c r="N7" s="48" t="inlineStr">
        <is>
          <t>Direct lookup/filter; no derived KPI.</t>
        </is>
      </c>
      <c r="O7" s="48" t="inlineStr">
        <is>
          <t>tbl_projects; tbl_project_stages</t>
        </is>
      </c>
      <c r="P7" s="48" t="inlineStr">
        <is>
          <t>Data Available</t>
        </is>
      </c>
      <c r="Q7" s="48" t="inlineStr">
        <is>
          <t>Parameterized lookup/filter</t>
        </is>
      </c>
      <c r="R7" s="47" t="inlineStr">
        <is>
          <t>Low</t>
        </is>
      </c>
      <c r="S7" s="48" t="inlineStr">
        <is>
          <t>FAQ Tool Call Binding + parameterized SQL; cache intent/SQL, not live response</t>
        </is>
      </c>
      <c r="T7" s="48" t="inlineStr">
        <is>
          <t>Mapped – Direct Schema</t>
        </is>
      </c>
      <c r="U7" s="48" t="inlineStr">
        <is>
          <t>SELECT p.project_id, p.project_key, p.title, p.project_stage_id, st.stage_name, st.color_code FROM tbl_projects p LEFT JOIN tbl_project_stages st ON st.stage_id = p.project_stage_id WHERE p.title = :project_name AND p.status = 1 AND p.archive = 0 ORDER BY p.project_id;</t>
        </is>
      </c>
      <c r="V7" s="48" t="inlineStr">
        <is>
          <t>Lookup master data required.</t>
        </is>
      </c>
    </row>
    <row r="8" ht="72" customHeight="1" s="38">
      <c r="A8" s="47" t="inlineStr">
        <is>
          <t>Existing – Retained</t>
        </is>
      </c>
      <c r="B8" s="48" t="n">
        <v>7</v>
      </c>
      <c r="C8" s="48" t="inlineStr">
        <is>
          <t>Portfolio Head / Delivery Manager / PM</t>
        </is>
      </c>
      <c r="D8" s="48" t="inlineStr">
        <is>
          <t>Low</t>
        </is>
      </c>
      <c r="E8" s="48" t="inlineStr">
        <is>
          <t>Projects</t>
        </is>
      </c>
      <c r="F8" s="48" t="inlineStr">
        <is>
          <t>Simple Lookup / Filter</t>
        </is>
      </c>
      <c r="G8" s="47" t="inlineStr">
        <is>
          <t>Simple</t>
        </is>
      </c>
      <c r="H8" s="48" t="inlineStr">
        <is>
          <t>project_rag</t>
        </is>
      </c>
      <c r="I8" s="48" t="inlineStr">
        <is>
          <t>What is the RAG status of :project_name?</t>
        </is>
      </c>
      <c r="J8" s="48" t="inlineStr">
        <is>
          <t>Show the health colour of :project_name.</t>
        </is>
      </c>
      <c r="K8" s="48" t="inlineStr">
        <is>
          <t>Is :project_name red, amber, or green?</t>
        </is>
      </c>
      <c r="L8" s="48" t="inlineStr">
        <is>
          <t>project_name</t>
        </is>
      </c>
      <c r="M8" s="48" t="inlineStr">
        <is>
          <t>Fast operational lookup and drill-down.</t>
        </is>
      </c>
      <c r="N8" s="48" t="inlineStr">
        <is>
          <t>Direct lookup/filter; no derived KPI.</t>
        </is>
      </c>
      <c r="O8" s="48" t="inlineStr">
        <is>
          <t>tbl_projects.rag</t>
        </is>
      </c>
      <c r="P8" s="48" t="inlineStr">
        <is>
          <t>Data Available</t>
        </is>
      </c>
      <c r="Q8" s="48" t="inlineStr">
        <is>
          <t>Parameterized lookup/filter</t>
        </is>
      </c>
      <c r="R8" s="47" t="inlineStr">
        <is>
          <t>Low</t>
        </is>
      </c>
      <c r="S8" s="48" t="inlineStr">
        <is>
          <t>FAQ Tool Call Binding + parameterized SQL; cache intent/SQL, not live response</t>
        </is>
      </c>
      <c r="T8" s="48" t="inlineStr">
        <is>
          <t>Mapped – Direct Schema</t>
        </is>
      </c>
      <c r="U8" s="48" t="inlineStr">
        <is>
          <t>SELECT p.project_id, p.project_key, p.title, p.rag FROM tbl_projects p WHERE p.title = :project_name AND p.status = 1 AND p.archive = 0 ORDER BY p.project_id;</t>
        </is>
      </c>
      <c r="V8" s="48" t="inlineStr">
        <is>
          <t>Confirm stored values and meaning.</t>
        </is>
      </c>
    </row>
    <row r="9" ht="72" customHeight="1" s="38">
      <c r="A9" s="47" t="inlineStr">
        <is>
          <t>Existing – Reworked with Populated Alternative</t>
        </is>
      </c>
      <c r="B9" s="48" t="n">
        <v>8</v>
      </c>
      <c r="C9" s="48" t="inlineStr">
        <is>
          <t>Portfolio Head / Delivery Manager / PM</t>
        </is>
      </c>
      <c r="D9" s="48" t="inlineStr">
        <is>
          <t>Low</t>
        </is>
      </c>
      <c r="E9" s="48" t="inlineStr">
        <is>
          <t>Projects</t>
        </is>
      </c>
      <c r="F9" s="48" t="inlineStr">
        <is>
          <t>Simple Lookup / Filter</t>
        </is>
      </c>
      <c r="G9" s="47" t="inlineStr">
        <is>
          <t>Simple</t>
        </is>
      </c>
      <c r="H9" s="48" t="inlineStr">
        <is>
          <t>project_priority_code</t>
        </is>
      </c>
      <c r="I9" s="48" t="inlineStr">
        <is>
          <t>What priority code is stored for :project_name?</t>
        </is>
      </c>
      <c r="J9" s="48" t="inlineStr">
        <is>
          <t>Show the stored priority value for :project_name.</t>
        </is>
      </c>
      <c r="K9" s="48" t="inlineStr">
        <is>
          <t>What is the current project priority code for :project_name?</t>
        </is>
      </c>
      <c r="L9" s="48" t="inlineStr">
        <is>
          <t>project_name or project_unique_id</t>
        </is>
      </c>
      <c r="M9" s="48" t="inlineStr">
        <is>
          <t>Fast operational lookup and drill-down.</t>
        </is>
      </c>
      <c r="N9" s="48" t="inlineStr">
        <is>
          <t>Direct lookup/filter; no derived KPI.</t>
        </is>
      </c>
      <c r="O9" s="48" t="inlineStr">
        <is>
          <t>tbl_projects</t>
        </is>
      </c>
      <c r="P9" s="48" t="inlineStr">
        <is>
          <t>Available – Raw Code Only</t>
        </is>
      </c>
      <c r="Q9" s="48" t="inlineStr">
        <is>
          <t>Parameterized lookup/filter</t>
        </is>
      </c>
      <c r="R9" s="47" t="inlineStr">
        <is>
          <t>Low</t>
        </is>
      </c>
      <c r="S9" s="48" t="inlineStr">
        <is>
          <t>FAQ Tool Call Binding + parameterized SQL; cache intent/SQL, not live response</t>
        </is>
      </c>
      <c r="T9" s="48" t="inlineStr">
        <is>
          <t>Mapped – Populated Alternative</t>
        </is>
      </c>
      <c r="U9" s="48" t="inlineStr">
        <is>
          <t>SELECT p.project_id, p.project_unique_id, p.project_key, p.title, p.priority FROM tbl_projects p WHERE (p.project_unique_id = :project_identifier OR p.project_key = :project_identifier OR p.title = :project_identifier) AND p.status = 1 AND p.archive = 0 ORDER BY p.project_id;</t>
        </is>
      </c>
      <c r="V9" s="48" t="inlineStr">
        <is>
          <t>The lookup table tbl_project_priority is empty. The raw numeric value in tbl_projects.priority is available, but its business label must be confirmed. Recovered from empty-table dependency.</t>
        </is>
      </c>
    </row>
    <row r="10" ht="72" customHeight="1" s="38">
      <c r="A10" s="47" t="inlineStr">
        <is>
          <t>Existing – Retained</t>
        </is>
      </c>
      <c r="B10" s="48" t="n">
        <v>9</v>
      </c>
      <c r="C10" s="48" t="inlineStr">
        <is>
          <t>Portfolio Head / Delivery Manager / PM</t>
        </is>
      </c>
      <c r="D10" s="48" t="inlineStr">
        <is>
          <t>Low</t>
        </is>
      </c>
      <c r="E10" s="48" t="inlineStr">
        <is>
          <t>Projects</t>
        </is>
      </c>
      <c r="F10" s="48" t="inlineStr">
        <is>
          <t>Simple Lookup / Filter</t>
        </is>
      </c>
      <c r="G10" s="47" t="inlineStr">
        <is>
          <t>Simple</t>
        </is>
      </c>
      <c r="H10" s="48" t="inlineStr">
        <is>
          <t>projects_starting_period</t>
        </is>
      </c>
      <c r="I10" s="48" t="inlineStr">
        <is>
          <t>Which projects start between :start_date and :end_date?</t>
        </is>
      </c>
      <c r="J10" s="48" t="inlineStr">
        <is>
          <t>Show projects beginning in the selected period.</t>
        </is>
      </c>
      <c r="K10" s="48" t="inlineStr">
        <is>
          <t>List upcoming project starts.</t>
        </is>
      </c>
      <c r="L10" s="48" t="inlineStr">
        <is>
          <t>start_date, end_date</t>
        </is>
      </c>
      <c r="M10" s="48" t="inlineStr">
        <is>
          <t>Fast operational lookup and drill-down.</t>
        </is>
      </c>
      <c r="N10" s="48" t="inlineStr">
        <is>
          <t>Direct lookup/filter; no derived KPI.</t>
        </is>
      </c>
      <c r="O10" s="48" t="inlineStr">
        <is>
          <t>tbl_projects.start_date</t>
        </is>
      </c>
      <c r="P10" s="48" t="inlineStr">
        <is>
          <t>Data Available</t>
        </is>
      </c>
      <c r="Q10" s="48" t="inlineStr">
        <is>
          <t>Parameterized lookup/filter</t>
        </is>
      </c>
      <c r="R10" s="47" t="inlineStr">
        <is>
          <t>Low</t>
        </is>
      </c>
      <c r="S10" s="48" t="inlineStr">
        <is>
          <t>FAQ Tool Call Binding + parameterized SQL; cache intent/SQL, not live response</t>
        </is>
      </c>
      <c r="T10" s="48" t="inlineStr">
        <is>
          <t>Mapped – Direct Schema</t>
        </is>
      </c>
      <c r="U10" s="48" t="inlineStr">
        <is>
          <t>SELECT p.project_id, p.project_key, p.title, p.start_date, p.end_date, ps.status_name, p.rag FROM tbl_projects p LEFT JOIN tbl_project_status ps ON ps.status_id = p.project_status_id WHERE p.start_date &gt;= :start_date AND p.start_date &lt; DATE_ADD(:end_date, INTERVAL 1 DAY) AND p.status = 1 AND p.archive = 0 ORDER BY p.start_date, p.title;</t>
        </is>
      </c>
      <c r="V10" s="48" t="inlineStr">
        <is>
          <t>Date boundaries to be inclusive.</t>
        </is>
      </c>
    </row>
    <row r="11" ht="72" customHeight="1" s="38">
      <c r="A11" s="47" t="inlineStr">
        <is>
          <t>Existing – Retained</t>
        </is>
      </c>
      <c r="B11" s="48" t="n">
        <v>10</v>
      </c>
      <c r="C11" s="48" t="inlineStr">
        <is>
          <t>Portfolio Head / Delivery Manager / PM</t>
        </is>
      </c>
      <c r="D11" s="48" t="inlineStr">
        <is>
          <t>Low</t>
        </is>
      </c>
      <c r="E11" s="48" t="inlineStr">
        <is>
          <t>Projects</t>
        </is>
      </c>
      <c r="F11" s="48" t="inlineStr">
        <is>
          <t>Simple Lookup / Filter</t>
        </is>
      </c>
      <c r="G11" s="47" t="inlineStr">
        <is>
          <t>Simple</t>
        </is>
      </c>
      <c r="H11" s="48" t="inlineStr">
        <is>
          <t>projects_ending_period</t>
        </is>
      </c>
      <c r="I11" s="48" t="inlineStr">
        <is>
          <t>Which projects end between :start_date and :end_date?</t>
        </is>
      </c>
      <c r="J11" s="48" t="inlineStr">
        <is>
          <t>Show projects scheduled to finish in the selected period.</t>
        </is>
      </c>
      <c r="K11" s="48" t="inlineStr">
        <is>
          <t>List upcoming project end dates.</t>
        </is>
      </c>
      <c r="L11" s="48" t="inlineStr">
        <is>
          <t>start_date, end_date</t>
        </is>
      </c>
      <c r="M11" s="48" t="inlineStr">
        <is>
          <t>Fast operational lookup and drill-down.</t>
        </is>
      </c>
      <c r="N11" s="48" t="inlineStr">
        <is>
          <t>Direct lookup/filter; no derived KPI.</t>
        </is>
      </c>
      <c r="O11" s="48" t="inlineStr">
        <is>
          <t>tbl_projects.end_date</t>
        </is>
      </c>
      <c r="P11" s="48" t="inlineStr">
        <is>
          <t>Data Available</t>
        </is>
      </c>
      <c r="Q11" s="48" t="inlineStr">
        <is>
          <t>Parameterized lookup/filter</t>
        </is>
      </c>
      <c r="R11" s="47" t="inlineStr">
        <is>
          <t>Low</t>
        </is>
      </c>
      <c r="S11" s="48" t="inlineStr">
        <is>
          <t>FAQ Tool Call Binding + parameterized SQL; cache intent/SQL, not live response</t>
        </is>
      </c>
      <c r="T11" s="48" t="inlineStr">
        <is>
          <t>Mapped – Direct Schema</t>
        </is>
      </c>
      <c r="U11" s="48" t="inlineStr">
        <is>
          <t>SELECT p.project_id, p.project_key, p.title, p.start_date, p.end_date, ps.status_name, p.rag FROM tbl_projects p LEFT JOIN tbl_project_status ps ON ps.status_id = p.project_status_id WHERE p.end_date &gt;= :start_date AND p.end_date &lt; DATE_ADD(:end_date, INTERVAL 1 DAY) AND p.status = 1 AND p.archive = 0 ORDER BY p.end_date, p.title;</t>
        </is>
      </c>
      <c r="V11" s="48" t="inlineStr">
        <is>
          <t>Date boundaries to be inclusive.</t>
        </is>
      </c>
    </row>
    <row r="12" ht="72" customHeight="1" s="38">
      <c r="A12" s="47" t="inlineStr">
        <is>
          <t>Existing – Retained</t>
        </is>
      </c>
      <c r="B12" s="48" t="n">
        <v>11</v>
      </c>
      <c r="C12" s="48" t="inlineStr">
        <is>
          <t>Portfolio Head / Delivery Manager / PM</t>
        </is>
      </c>
      <c r="D12" s="48" t="inlineStr">
        <is>
          <t>Medium</t>
        </is>
      </c>
      <c r="E12" s="48" t="inlineStr">
        <is>
          <t>Projects</t>
        </is>
      </c>
      <c r="F12" s="48" t="inlineStr">
        <is>
          <t>Exception / Diagnostic</t>
        </is>
      </c>
      <c r="G12" s="51" t="inlineStr">
        <is>
          <t>Complex</t>
        </is>
      </c>
      <c r="H12" s="48" t="inlineStr">
        <is>
          <t>overdue_projects</t>
        </is>
      </c>
      <c r="I12" s="48" t="inlineStr">
        <is>
          <t>Which projects are overdue?</t>
        </is>
      </c>
      <c r="J12" s="48" t="inlineStr">
        <is>
          <t>Show active projects past their end date.</t>
        </is>
      </c>
      <c r="K12" s="48" t="inlineStr">
        <is>
          <t>List delayed projects.</t>
        </is>
      </c>
      <c r="L12" s="48" t="inlineStr">
        <is>
          <t>as_of_date</t>
        </is>
      </c>
      <c r="M12" s="48" t="inlineStr">
        <is>
          <t>Identify exceptions requiring owner action.</t>
        </is>
      </c>
      <c r="N12" s="48" t="inlineStr">
        <is>
          <t>Define which project statuses are considered open.</t>
        </is>
      </c>
      <c r="O12" s="48" t="inlineStr">
        <is>
          <t>tbl_projects.end_date; tbl_project_status</t>
        </is>
      </c>
      <c r="P12" s="48" t="inlineStr">
        <is>
          <t>N/A</t>
        </is>
      </c>
      <c r="Q12" s="48" t="inlineStr">
        <is>
          <t>Exception query with joins and threshold filters</t>
        </is>
      </c>
      <c r="R12" s="52" t="inlineStr">
        <is>
          <t>High</t>
        </is>
      </c>
      <c r="S12" s="48" t="inlineStr">
        <is>
          <t>Orbit KPI Tool with predefined metric logic; Mesh may explain results but must not calculate metrics freely</t>
        </is>
      </c>
      <c r="T12" s="48" t="inlineStr">
        <is>
          <t>Not Applicable – Non-Direct Support</t>
        </is>
      </c>
      <c r="U12" s="48" t="n"/>
      <c r="V12" s="48" t="inlineStr">
        <is>
          <t>Define which project statuses are considered open.</t>
        </is>
      </c>
    </row>
    <row r="13" ht="72" customHeight="1" s="38">
      <c r="A13" s="47" t="inlineStr">
        <is>
          <t>Existing – Reworked with Populated Alternative</t>
        </is>
      </c>
      <c r="B13" s="48" t="n">
        <v>12</v>
      </c>
      <c r="C13" s="48" t="inlineStr">
        <is>
          <t>Portfolio Head / Delivery Manager / PM</t>
        </is>
      </c>
      <c r="D13" s="48" t="inlineStr">
        <is>
          <t>Low</t>
        </is>
      </c>
      <c r="E13" s="48" t="inlineStr">
        <is>
          <t>Projects</t>
        </is>
      </c>
      <c r="F13" s="48" t="inlineStr">
        <is>
          <t>Simple Lookup / Filter</t>
        </is>
      </c>
      <c r="G13" s="47" t="inlineStr">
        <is>
          <t>Simple</t>
        </is>
      </c>
      <c r="H13" s="48" t="inlineStr">
        <is>
          <t>projects_by_department</t>
        </is>
      </c>
      <c r="I13" s="48" t="inlineStr">
        <is>
          <t>Show active projects for department :department_name.</t>
        </is>
      </c>
      <c r="J13" s="48" t="inlineStr">
        <is>
          <t>Which active projects belong to :department_name?</t>
        </is>
      </c>
      <c r="K13" s="48" t="inlineStr">
        <is>
          <t>Give me the project portfolio for :department_name.</t>
        </is>
      </c>
      <c r="L13" s="48" t="inlineStr">
        <is>
          <t>department_name</t>
        </is>
      </c>
      <c r="M13" s="48" t="inlineStr">
        <is>
          <t>Fast operational lookup and drill-down.</t>
        </is>
      </c>
      <c r="N13" s="48" t="inlineStr">
        <is>
          <t>Direct lookup/filter; no derived KPI.</t>
        </is>
      </c>
      <c r="O13" s="48" t="inlineStr">
        <is>
          <t>tbl_projects; department</t>
        </is>
      </c>
      <c r="P13" s="48" t="inlineStr">
        <is>
          <t>Available – Alternative Table</t>
        </is>
      </c>
      <c r="Q13" s="48" t="inlineStr">
        <is>
          <t>Parameterized lookup/filter</t>
        </is>
      </c>
      <c r="R13" s="47" t="inlineStr">
        <is>
          <t>Low</t>
        </is>
      </c>
      <c r="S13" s="48" t="inlineStr">
        <is>
          <t>FAQ Tool Call Binding + parameterized SQL; cache intent/SQL, not live response</t>
        </is>
      </c>
      <c r="T13" s="48" t="inlineStr">
        <is>
          <t>Mapped – Populated Alternative</t>
        </is>
      </c>
      <c r="U13" s="48" t="inlineStr">
        <is>
          <t>SELECT p.project_id, p.project_unique_id, p.project_key, p.title, p.start_date, p.end_date, p.rag, d.name AS department_name FROM tbl_projects p JOIN department d ON d.group_id = p.department_id WHERE d.name = :department_name AND p.status = 1 AND p.archive = 0 ORDER BY p.end_date, p.title;</t>
        </is>
      </c>
      <c r="V13" s="48" t="inlineStr">
        <is>
          <t>Use populated department table instead of empty tbl_project_department. Confirm join tbl_projects.department_id = department.group_id. Recovered from empty-table dependency.</t>
        </is>
      </c>
    </row>
    <row r="14" ht="72" customHeight="1" s="38">
      <c r="A14" s="47" t="inlineStr">
        <is>
          <t>Existing – Retained</t>
        </is>
      </c>
      <c r="B14" s="48" t="n">
        <v>14</v>
      </c>
      <c r="C14" s="48" t="inlineStr">
        <is>
          <t>Portfolio Head / Delivery Manager / PM</t>
        </is>
      </c>
      <c r="D14" s="48" t="inlineStr">
        <is>
          <t>Low</t>
        </is>
      </c>
      <c r="E14" s="48" t="inlineStr">
        <is>
          <t>Projects</t>
        </is>
      </c>
      <c r="F14" s="48" t="inlineStr">
        <is>
          <t>Simple Lookup / Filter</t>
        </is>
      </c>
      <c r="G14" s="47" t="inlineStr">
        <is>
          <t>Simple</t>
        </is>
      </c>
      <c r="H14" s="48" t="inlineStr">
        <is>
          <t>projects_by_type</t>
        </is>
      </c>
      <c r="I14" s="48" t="inlineStr">
        <is>
          <t>Show projects of type :project_type.</t>
        </is>
      </c>
      <c r="J14" s="48" t="inlineStr">
        <is>
          <t>List :project_type projects.</t>
        </is>
      </c>
      <c r="K14" s="48" t="inlineStr">
        <is>
          <t>Which projects use project type :project_type?</t>
        </is>
      </c>
      <c r="L14" s="48" t="inlineStr">
        <is>
          <t>project_type</t>
        </is>
      </c>
      <c r="M14" s="48" t="inlineStr">
        <is>
          <t>Fast operational lookup and drill-down.</t>
        </is>
      </c>
      <c r="N14" s="48" t="inlineStr">
        <is>
          <t>Direct lookup/filter; no derived KPI.</t>
        </is>
      </c>
      <c r="O14" s="48" t="inlineStr">
        <is>
          <t>tbl_projects.project_type_id; tbl_project_types</t>
        </is>
      </c>
      <c r="P14" s="48" t="inlineStr">
        <is>
          <t>Data Available</t>
        </is>
      </c>
      <c r="Q14" s="48" t="inlineStr">
        <is>
          <t>Parameterized lookup/filter</t>
        </is>
      </c>
      <c r="R14" s="47" t="inlineStr">
        <is>
          <t>Low</t>
        </is>
      </c>
      <c r="S14" s="48" t="inlineStr">
        <is>
          <t>FAQ Tool Call Binding + parameterized SQL; cache intent/SQL, not live response</t>
        </is>
      </c>
      <c r="T14" s="48" t="inlineStr">
        <is>
          <t>Mapped – Direct Schema</t>
        </is>
      </c>
      <c r="U14" s="48" t="inlineStr">
        <is>
          <t>SELECT p.project_id, p.project_key, p.title, pt.project_type, ps.status_name, p.start_date, p.end_date FROM tbl_projects p JOIN tbl_project_types pt ON pt.project_type_id = p.project_type_id LEFT JOIN tbl_project_status ps ON ps.status_id = p.project_status_id WHERE pt.project_type = :project_type AND p.status = 1 AND p.archive = 0 ORDER BY p.title;</t>
        </is>
      </c>
      <c r="V14" s="48" t="inlineStr">
        <is>
          <t>Lookup values required.</t>
        </is>
      </c>
    </row>
    <row r="15" ht="72" customHeight="1" s="38">
      <c r="A15" s="47" t="inlineStr">
        <is>
          <t>Existing – Retained</t>
        </is>
      </c>
      <c r="B15" s="48" t="n">
        <v>15</v>
      </c>
      <c r="C15" s="48" t="inlineStr">
        <is>
          <t>Portfolio Head / Delivery Manager / PM</t>
        </is>
      </c>
      <c r="D15" s="48" t="inlineStr">
        <is>
          <t>Medium</t>
        </is>
      </c>
      <c r="E15" s="48" t="inlineStr">
        <is>
          <t>Projects</t>
        </is>
      </c>
      <c r="F15" s="48" t="inlineStr">
        <is>
          <t>Derived Analysis</t>
        </is>
      </c>
      <c r="G15" s="52" t="inlineStr">
        <is>
          <t>Very Complex</t>
        </is>
      </c>
      <c r="H15" s="48" t="inlineStr">
        <is>
          <t>projects_by_client</t>
        </is>
      </c>
      <c r="I15" s="48" t="inlineStr">
        <is>
          <t>Show projects for client :client_name.</t>
        </is>
      </c>
      <c r="J15" s="48" t="inlineStr">
        <is>
          <t>List projects associated with :client_name.</t>
        </is>
      </c>
      <c r="K15" s="48" t="inlineStr">
        <is>
          <t>Which projects belong to :client_name?</t>
        </is>
      </c>
      <c r="L15" s="48" t="inlineStr">
        <is>
          <t>client_name</t>
        </is>
      </c>
      <c r="M15" s="48" t="inlineStr">
        <is>
          <t>Support governed management analysis.</t>
        </is>
      </c>
      <c r="N15" s="48" t="inlineStr">
        <is>
          <t>Client master table must be confirmed.</t>
        </is>
      </c>
      <c r="O15" s="48" t="inlineStr">
        <is>
          <t>tbl_projects.client_id</t>
        </is>
      </c>
      <c r="P15" s="48" t="inlineStr">
        <is>
          <t>N/A</t>
        </is>
      </c>
      <c r="Q15" s="48" t="inlineStr">
        <is>
          <t>Governed multi-table query</t>
        </is>
      </c>
      <c r="R15" s="52" t="inlineStr">
        <is>
          <t>High</t>
        </is>
      </c>
      <c r="S15" s="48" t="inlineStr">
        <is>
          <t>Orbit KPI Tool with predefined metric logic; Mesh may explain results but must not calculate metrics freely</t>
        </is>
      </c>
      <c r="T15" s="48" t="inlineStr">
        <is>
          <t>Not Applicable – Non-Direct Support</t>
        </is>
      </c>
      <c r="U15" s="48" t="n"/>
      <c r="V15" s="48" t="inlineStr">
        <is>
          <t>Client master table must be confirmed.</t>
        </is>
      </c>
    </row>
    <row r="16" ht="72" customHeight="1" s="38">
      <c r="A16" s="47" t="inlineStr">
        <is>
          <t>Existing – Retained</t>
        </is>
      </c>
      <c r="B16" s="48" t="n">
        <v>16</v>
      </c>
      <c r="C16" s="48" t="inlineStr">
        <is>
          <t>Portfolio Head / Delivery Manager / PM</t>
        </is>
      </c>
      <c r="D16" s="51" t="inlineStr">
        <is>
          <t>High</t>
        </is>
      </c>
      <c r="E16" s="48" t="inlineStr">
        <is>
          <t>Projects</t>
        </is>
      </c>
      <c r="F16" s="48" t="inlineStr">
        <is>
          <t>Aggregation / Dashboard KPI</t>
        </is>
      </c>
      <c r="G16" s="51" t="inlineStr">
        <is>
          <t>Complex</t>
        </is>
      </c>
      <c r="H16" s="48" t="inlineStr">
        <is>
          <t>project_team_size</t>
        </is>
      </c>
      <c r="I16" s="48" t="inlineStr">
        <is>
          <t>How many active users are allocated to :project_name?</t>
        </is>
      </c>
      <c r="J16" s="48" t="inlineStr">
        <is>
          <t>Show the team size of :project_name.</t>
        </is>
      </c>
      <c r="K16" s="48" t="inlineStr">
        <is>
          <t>How many people are on :project_name?</t>
        </is>
      </c>
      <c r="L16" s="48" t="inlineStr">
        <is>
          <t>project_name</t>
        </is>
      </c>
      <c r="M16" s="48" t="inlineStr">
        <is>
          <t>Provide a reusable dashboard metric for monitoring.</t>
        </is>
      </c>
      <c r="N16" s="48" t="inlineStr">
        <is>
          <t>Define active allocation and request_status filters.</t>
        </is>
      </c>
      <c r="O16" s="48" t="inlineStr">
        <is>
          <t>tbl_project_users</t>
        </is>
      </c>
      <c r="P16" s="48" t="inlineStr">
        <is>
          <t>N/A</t>
        </is>
      </c>
      <c r="Q16" s="48" t="inlineStr">
        <is>
          <t>Predefined aggregation / grouped KPI query</t>
        </is>
      </c>
      <c r="R16" s="52" t="inlineStr">
        <is>
          <t>High</t>
        </is>
      </c>
      <c r="S16" s="48" t="inlineStr">
        <is>
          <t>Orbit KPI Tool with predefined metric logic; Mesh may explain results but must not calculate metrics freely</t>
        </is>
      </c>
      <c r="T16" s="48" t="inlineStr">
        <is>
          <t>Not Mapped – Business Rule Required</t>
        </is>
      </c>
      <c r="U16" s="48" t="n"/>
      <c r="V16" s="48" t="inlineStr">
        <is>
          <t>Define active allocation and request_status filters.</t>
        </is>
      </c>
    </row>
    <row r="17" ht="72" customHeight="1" s="38">
      <c r="A17" s="47" t="inlineStr">
        <is>
          <t>Existing – Retained</t>
        </is>
      </c>
      <c r="B17" s="48" t="n">
        <v>17</v>
      </c>
      <c r="C17" s="48" t="inlineStr">
        <is>
          <t>Portfolio Head / Delivery Manager / PM</t>
        </is>
      </c>
      <c r="D17" s="48" t="inlineStr">
        <is>
          <t>Medium</t>
        </is>
      </c>
      <c r="E17" s="48" t="inlineStr">
        <is>
          <t>Projects</t>
        </is>
      </c>
      <c r="F17" s="48" t="inlineStr">
        <is>
          <t>Exception / Diagnostic</t>
        </is>
      </c>
      <c r="G17" s="49" t="inlineStr">
        <is>
          <t>Moderate</t>
        </is>
      </c>
      <c r="H17" s="48" t="inlineStr">
        <is>
          <t>projects_without_pm</t>
        </is>
      </c>
      <c r="I17" s="48" t="inlineStr">
        <is>
          <t>Which projects do not have a project manager?</t>
        </is>
      </c>
      <c r="J17" s="48" t="inlineStr">
        <is>
          <t>Show projects with no PM assigned.</t>
        </is>
      </c>
      <c r="K17" s="48" t="inlineStr">
        <is>
          <t>List unowned PM assignments.</t>
        </is>
      </c>
      <c r="L17" s="48" t="inlineStr">
        <is>
          <t>none</t>
        </is>
      </c>
      <c r="M17" s="48" t="inlineStr">
        <is>
          <t>Identify exceptions requiring owner action.</t>
        </is>
      </c>
      <c r="N17" s="48" t="inlineStr">
        <is>
          <t>Null and zero handling required.</t>
        </is>
      </c>
      <c r="O17" s="48" t="inlineStr">
        <is>
          <t>tbl_projects.pm_user_id</t>
        </is>
      </c>
      <c r="P17" s="48" t="inlineStr">
        <is>
          <t>Data Available</t>
        </is>
      </c>
      <c r="Q17" s="48" t="inlineStr">
        <is>
          <t>Exception query with joins and threshold filters</t>
        </is>
      </c>
      <c r="R17" s="50" t="inlineStr">
        <is>
          <t>Medium</t>
        </is>
      </c>
      <c r="S17" s="48" t="inlineStr">
        <is>
          <t>FAQ/NL2SQL cached template or Orbit aggregation tool; execute on live data</t>
        </is>
      </c>
      <c r="T17" s="48" t="inlineStr">
        <is>
          <t>Mapped – Direct Schema</t>
        </is>
      </c>
      <c r="U17" s="48" t="inlineStr">
        <is>
          <t>SELECT p.project_id, p.project_key, p.title, p.start_date, p.end_date, ps.status_name FROM tbl_projects p LEFT JOIN tbl_project_status ps ON ps.status_id = p.project_status_id WHERE p.pm_user_id IS NULL AND p.status = 1 AND p.archive = 0 ORDER BY p.title;</t>
        </is>
      </c>
      <c r="V17" s="48" t="inlineStr">
        <is>
          <t>Null and zero handling required.</t>
        </is>
      </c>
    </row>
    <row r="18" ht="72" customHeight="1" s="38">
      <c r="A18" s="47" t="inlineStr">
        <is>
          <t>Existing – Retained</t>
        </is>
      </c>
      <c r="B18" s="48" t="n">
        <v>18</v>
      </c>
      <c r="C18" s="48" t="inlineStr">
        <is>
          <t>Portfolio Head / Delivery Manager / PM</t>
        </is>
      </c>
      <c r="D18" s="48" t="inlineStr">
        <is>
          <t>Medium</t>
        </is>
      </c>
      <c r="E18" s="48" t="inlineStr">
        <is>
          <t>Projects</t>
        </is>
      </c>
      <c r="F18" s="48" t="inlineStr">
        <is>
          <t>Exception / Diagnostic</t>
        </is>
      </c>
      <c r="G18" s="51" t="inlineStr">
        <is>
          <t>Complex</t>
        </is>
      </c>
      <c r="H18" s="48" t="inlineStr">
        <is>
          <t>projects_without_members</t>
        </is>
      </c>
      <c r="I18" s="48" t="inlineStr">
        <is>
          <t>Which active projects have no allocated users?</t>
        </is>
      </c>
      <c r="J18" s="48" t="inlineStr">
        <is>
          <t>Show projects without team members.</t>
        </is>
      </c>
      <c r="K18" s="48" t="inlineStr">
        <is>
          <t>List active projects with an empty team.</t>
        </is>
      </c>
      <c r="L18" s="48" t="inlineStr">
        <is>
          <t>none</t>
        </is>
      </c>
      <c r="M18" s="48" t="inlineStr">
        <is>
          <t>Identify exceptions requiring owner action.</t>
        </is>
      </c>
      <c r="N18" s="48" t="inlineStr">
        <is>
          <t>Define active project and active membership.</t>
        </is>
      </c>
      <c r="O18" s="48" t="inlineStr">
        <is>
          <t>tbl_projects; tbl_project_users</t>
        </is>
      </c>
      <c r="P18" s="48" t="inlineStr">
        <is>
          <t>N/A</t>
        </is>
      </c>
      <c r="Q18" s="48" t="inlineStr">
        <is>
          <t>Exception query with joins and threshold filters</t>
        </is>
      </c>
      <c r="R18" s="52" t="inlineStr">
        <is>
          <t>High</t>
        </is>
      </c>
      <c r="S18" s="48" t="inlineStr">
        <is>
          <t>Orbit KPI Tool with predefined metric logic; Mesh may explain results but must not calculate metrics freely</t>
        </is>
      </c>
      <c r="T18" s="48" t="inlineStr">
        <is>
          <t>Not Applicable – Non-Direct Support</t>
        </is>
      </c>
      <c r="U18" s="48" t="n"/>
      <c r="V18" s="48" t="inlineStr">
        <is>
          <t>Define active project and active membership.</t>
        </is>
      </c>
    </row>
    <row r="19" ht="72" customHeight="1" s="38">
      <c r="A19" s="47" t="inlineStr">
        <is>
          <t>Existing – Reworked with Populated Alternative</t>
        </is>
      </c>
      <c r="B19" s="48" t="n">
        <v>19</v>
      </c>
      <c r="C19" s="48" t="inlineStr">
        <is>
          <t>Portfolio Head / Delivery Manager / PM</t>
        </is>
      </c>
      <c r="D19" s="48" t="inlineStr">
        <is>
          <t>Medium</t>
        </is>
      </c>
      <c r="E19" s="48" t="inlineStr">
        <is>
          <t>Projects</t>
        </is>
      </c>
      <c r="F19" s="48" t="inlineStr">
        <is>
          <t>Derived Analysis</t>
        </is>
      </c>
      <c r="G19" s="52" t="inlineStr">
        <is>
          <t>Very Complex</t>
        </is>
      </c>
      <c r="H19" s="48" t="inlineStr">
        <is>
          <t>project_recent_activity</t>
        </is>
      </c>
      <c r="I19" s="48" t="inlineStr">
        <is>
          <t>What project records were updated recently for :project_name?</t>
        </is>
      </c>
      <c r="J19" s="48" t="inlineStr">
        <is>
          <t>Show recent project, task, issue, and risk activity for :project_name.</t>
        </is>
      </c>
      <c r="K19" s="48" t="inlineStr">
        <is>
          <t>What activity has occurred on :project_name in the last :days days?</t>
        </is>
      </c>
      <c r="L19" s="48" t="inlineStr">
        <is>
          <t>project_identifier; days</t>
        </is>
      </c>
      <c r="M19" s="48" t="inlineStr">
        <is>
          <t>Support governed management analysis.</t>
        </is>
      </c>
      <c r="N19" s="48" t="inlineStr">
        <is>
          <t>The empty project status history table cannot provide an exact status-change log. This replacement provides a recent activity feed from populated update timestamps and risk history.</t>
        </is>
      </c>
      <c r="O19" s="48" t="inlineStr">
        <is>
          <t>tbl_projects; tbl_project_tasks; tbl_project_issues; tbl_risk; tbl_risk_history</t>
        </is>
      </c>
      <c r="P19" s="48" t="inlineStr">
        <is>
          <t>Available – Reframed Activity View</t>
        </is>
      </c>
      <c r="Q19" s="48" t="inlineStr">
        <is>
          <t>Governed multi-table query</t>
        </is>
      </c>
      <c r="R19" s="52" t="inlineStr">
        <is>
          <t>High</t>
        </is>
      </c>
      <c r="S19" s="48" t="inlineStr">
        <is>
          <t>Orbit KPI Tool with predefined metric logic; Mesh may explain results but must not calculate metrics freely</t>
        </is>
      </c>
      <c r="T19" s="48" t="inlineStr">
        <is>
          <t>Pending – Multi-source Activity Query</t>
        </is>
      </c>
      <c r="U19" s="48" t="n"/>
      <c r="V19" s="48" t="inlineStr">
        <is>
          <t>The empty project status history table cannot provide an exact status-change log. This replacement provides a recent activity feed from populated update timestamps and risk history. Recovered from empty-table dependency.</t>
        </is>
      </c>
    </row>
    <row r="20" ht="72" customHeight="1" s="38">
      <c r="A20" s="47" t="inlineStr">
        <is>
          <t>Existing – Retained</t>
        </is>
      </c>
      <c r="B20" s="48" t="n">
        <v>20</v>
      </c>
      <c r="C20" s="48" t="inlineStr">
        <is>
          <t>CEO / Executive / Portfolio Head</t>
        </is>
      </c>
      <c r="D20" s="51" t="inlineStr">
        <is>
          <t>High</t>
        </is>
      </c>
      <c r="E20" s="48" t="inlineStr">
        <is>
          <t>Projects</t>
        </is>
      </c>
      <c r="F20" s="48" t="inlineStr">
        <is>
          <t>Aggregation / Dashboard KPI</t>
        </is>
      </c>
      <c r="G20" s="51" t="inlineStr">
        <is>
          <t>Complex</t>
        </is>
      </c>
      <c r="H20" s="48" t="inlineStr">
        <is>
          <t>active_project_portfolio</t>
        </is>
      </c>
      <c r="I20" s="48" t="inlineStr">
        <is>
          <t>Give me a summary of active projects.</t>
        </is>
      </c>
      <c r="J20" s="48" t="inlineStr">
        <is>
          <t>Show active project counts by status and stage.</t>
        </is>
      </c>
      <c r="K20" s="48" t="inlineStr">
        <is>
          <t>Summarize the current project portfolio.</t>
        </is>
      </c>
      <c r="L20" s="48" t="inlineStr">
        <is>
          <t>current_user_scope</t>
        </is>
      </c>
      <c r="M20" s="48" t="inlineStr">
        <is>
          <t>Provide a reusable dashboard metric for monitoring.</t>
        </is>
      </c>
      <c r="N20" s="48" t="inlineStr">
        <is>
          <t>Define visibility scope and summary measures.</t>
        </is>
      </c>
      <c r="O20" s="48" t="inlineStr">
        <is>
          <t>tbl_projects; status/stage masters</t>
        </is>
      </c>
      <c r="P20" s="48" t="inlineStr">
        <is>
          <t>N/A</t>
        </is>
      </c>
      <c r="Q20" s="48" t="inlineStr">
        <is>
          <t>Predefined aggregation / grouped KPI query</t>
        </is>
      </c>
      <c r="R20" s="52" t="inlineStr">
        <is>
          <t>High</t>
        </is>
      </c>
      <c r="S20" s="48" t="inlineStr">
        <is>
          <t>Orbit KPI Tool with predefined metric logic; Mesh may explain results but must not calculate metrics freely</t>
        </is>
      </c>
      <c r="T20" s="48" t="inlineStr">
        <is>
          <t>Not Applicable – Non-Direct Support</t>
        </is>
      </c>
      <c r="U20" s="48" t="n"/>
      <c r="V20" s="48" t="inlineStr">
        <is>
          <t>Define visibility scope and summary measures.</t>
        </is>
      </c>
    </row>
    <row r="21" ht="72" customHeight="1" s="38">
      <c r="A21" s="47" t="inlineStr">
        <is>
          <t>Existing – Retained</t>
        </is>
      </c>
      <c r="B21" s="48" t="n">
        <v>26</v>
      </c>
      <c r="C21" s="48" t="inlineStr">
        <is>
          <t>Portfolio Head / Delivery Manager / PM</t>
        </is>
      </c>
      <c r="D21" s="48" t="inlineStr">
        <is>
          <t>Medium</t>
        </is>
      </c>
      <c r="E21" s="48" t="inlineStr">
        <is>
          <t>Milestones</t>
        </is>
      </c>
      <c r="F21" s="48" t="inlineStr">
        <is>
          <t>Derived Analysis</t>
        </is>
      </c>
      <c r="G21" s="51" t="inlineStr">
        <is>
          <t>Complex</t>
        </is>
      </c>
      <c r="H21" s="48" t="inlineStr">
        <is>
          <t>milestone_task_progress</t>
        </is>
      </c>
      <c r="I21" s="48" t="inlineStr">
        <is>
          <t>What is the task completion progress of milestone :milestone_name?</t>
        </is>
      </c>
      <c r="J21" s="48" t="inlineStr">
        <is>
          <t>How many milestone tasks are completed?</t>
        </is>
      </c>
      <c r="K21" s="48" t="inlineStr">
        <is>
          <t>Show completed versus open tasks for :milestone_name.</t>
        </is>
      </c>
      <c r="L21" s="48" t="inlineStr">
        <is>
          <t>milestone_name, project_name</t>
        </is>
      </c>
      <c r="M21" s="48" t="inlineStr">
        <is>
          <t>Support governed management analysis.</t>
        </is>
      </c>
      <c r="N21" s="48" t="inlineStr">
        <is>
          <t>Define closed task statuses.</t>
        </is>
      </c>
      <c r="O21" s="48" t="inlineStr">
        <is>
          <t>mapping; tasks; task status</t>
        </is>
      </c>
      <c r="P21" s="48" t="inlineStr">
        <is>
          <t>N/A</t>
        </is>
      </c>
      <c r="Q21" s="48" t="inlineStr">
        <is>
          <t>Governed multi-table query</t>
        </is>
      </c>
      <c r="R21" s="52" t="inlineStr">
        <is>
          <t>High</t>
        </is>
      </c>
      <c r="S21" s="48" t="inlineStr">
        <is>
          <t>Orbit KPI Tool with predefined metric logic; Mesh may explain results but must not calculate metrics freely</t>
        </is>
      </c>
      <c r="T21" s="48" t="inlineStr">
        <is>
          <t>Not Applicable – Non-Direct Support</t>
        </is>
      </c>
      <c r="U21" s="48" t="n"/>
      <c r="V21" s="48" t="inlineStr">
        <is>
          <t>Define closed task statuses.</t>
        </is>
      </c>
    </row>
    <row r="22" ht="72" customHeight="1" s="38">
      <c r="A22" s="47" t="inlineStr">
        <is>
          <t>Existing – Retained</t>
        </is>
      </c>
      <c r="B22" s="48" t="n">
        <v>28</v>
      </c>
      <c r="C22" s="48" t="inlineStr">
        <is>
          <t>Portfolio Head / Delivery Manager / PM</t>
        </is>
      </c>
      <c r="D22" s="48" t="inlineStr">
        <is>
          <t>Medium</t>
        </is>
      </c>
      <c r="E22" s="48" t="inlineStr">
        <is>
          <t>Milestones</t>
        </is>
      </c>
      <c r="F22" s="48" t="inlineStr">
        <is>
          <t>Derived Analysis</t>
        </is>
      </c>
      <c r="G22" s="51" t="inlineStr">
        <is>
          <t>Complex</t>
        </is>
      </c>
      <c r="H22" s="48" t="inlineStr">
        <is>
          <t>milestone_date_slippage</t>
        </is>
      </c>
      <c r="I22" s="48" t="inlineStr">
        <is>
          <t>Which milestone dates differ from their mapped task dates?</t>
        </is>
      </c>
      <c r="J22" s="48" t="inlineStr">
        <is>
          <t>Show milestones with task schedules outside milestone dates.</t>
        </is>
      </c>
      <c r="K22" s="48" t="inlineStr">
        <is>
          <t>List milestone schedule mismatches.</t>
        </is>
      </c>
      <c r="L22" s="48" t="inlineStr">
        <is>
          <t>none</t>
        </is>
      </c>
      <c r="M22" s="48" t="inlineStr">
        <is>
          <t>Support governed management analysis.</t>
        </is>
      </c>
      <c r="N22" s="48" t="inlineStr">
        <is>
          <t>No baseline milestone date exists; this is schedule consistency, not baseline slippage.</t>
        </is>
      </c>
      <c r="O22" s="48" t="inlineStr">
        <is>
          <t>milestone tables; mapping</t>
        </is>
      </c>
      <c r="P22" s="48" t="inlineStr">
        <is>
          <t>N/A</t>
        </is>
      </c>
      <c r="Q22" s="48" t="inlineStr">
        <is>
          <t>Governed multi-table query</t>
        </is>
      </c>
      <c r="R22" s="52" t="inlineStr">
        <is>
          <t>High</t>
        </is>
      </c>
      <c r="S22" s="48" t="inlineStr">
        <is>
          <t>Orbit KPI Tool with predefined metric logic; Mesh may explain results but must not calculate metrics freely</t>
        </is>
      </c>
      <c r="T22" s="48" t="inlineStr">
        <is>
          <t>Not Applicable – Non-Direct Support</t>
        </is>
      </c>
      <c r="U22" s="48" t="n"/>
      <c r="V22" s="48" t="inlineStr">
        <is>
          <t>No baseline milestone date exists; this is schedule consistency, not baseline slippage.</t>
        </is>
      </c>
    </row>
    <row r="23" ht="72" customHeight="1" s="38">
      <c r="A23" s="47" t="inlineStr">
        <is>
          <t>Existing – Retained</t>
        </is>
      </c>
      <c r="B23" s="48" t="n">
        <v>30</v>
      </c>
      <c r="C23" s="48" t="inlineStr">
        <is>
          <t>Portfolio Head / Delivery Manager / PM</t>
        </is>
      </c>
      <c r="D23" s="48" t="inlineStr">
        <is>
          <t>Medium</t>
        </is>
      </c>
      <c r="E23" s="48" t="inlineStr">
        <is>
          <t>Milestones</t>
        </is>
      </c>
      <c r="F23" s="48" t="inlineStr">
        <is>
          <t>Derived Analysis</t>
        </is>
      </c>
      <c r="G23" s="52" t="inlineStr">
        <is>
          <t>Very Complex</t>
        </is>
      </c>
      <c r="H23" s="48" t="inlineStr">
        <is>
          <t>milestone_owner</t>
        </is>
      </c>
      <c r="I23" s="48" t="inlineStr">
        <is>
          <t>Who owns milestone :milestone_name?</t>
        </is>
      </c>
      <c r="J23" s="48" t="inlineStr">
        <is>
          <t>Show the owner of :milestone_name.</t>
        </is>
      </c>
      <c r="K23" s="48" t="inlineStr">
        <is>
          <t>Who is responsible for :milestone_name?</t>
        </is>
      </c>
      <c r="L23" s="48" t="inlineStr">
        <is>
          <t>milestone_name</t>
        </is>
      </c>
      <c r="M23" s="48" t="inlineStr">
        <is>
          <t>Support governed management analysis.</t>
        </is>
      </c>
      <c r="N23" s="48" t="inlineStr">
        <is>
          <t>No owner column exists on milestone table; may be inferred from task owners only.</t>
        </is>
      </c>
      <c r="O23" s="48" t="inlineStr">
        <is>
          <t>milestone tables</t>
        </is>
      </c>
      <c r="P23" s="48" t="inlineStr">
        <is>
          <t>N/A</t>
        </is>
      </c>
      <c r="Q23" s="48" t="inlineStr">
        <is>
          <t>Governed multi-table query</t>
        </is>
      </c>
      <c r="R23" s="52" t="inlineStr">
        <is>
          <t>High</t>
        </is>
      </c>
      <c r="S23" s="48" t="inlineStr">
        <is>
          <t>Orbit KPI Tool with predefined metric logic; Mesh may explain results but must not calculate metrics freely</t>
        </is>
      </c>
      <c r="T23" s="48" t="inlineStr">
        <is>
          <t>Not Applicable – Non-Direct Support</t>
        </is>
      </c>
      <c r="U23" s="48" t="n"/>
      <c r="V23" s="48" t="inlineStr">
        <is>
          <t>No owner column exists on milestone table; may be inferred from task owners only.</t>
        </is>
      </c>
    </row>
    <row r="24" ht="72" customHeight="1" s="38">
      <c r="A24" s="47" t="inlineStr">
        <is>
          <t>Existing – Retained</t>
        </is>
      </c>
      <c r="B24" s="48" t="n">
        <v>31</v>
      </c>
      <c r="C24" s="48" t="inlineStr">
        <is>
          <t>PM / Team Lead / Employee</t>
        </is>
      </c>
      <c r="D24" s="48" t="inlineStr">
        <is>
          <t>Medium</t>
        </is>
      </c>
      <c r="E24" s="48" t="inlineStr">
        <is>
          <t>Tasks</t>
        </is>
      </c>
      <c r="F24" s="48" t="inlineStr">
        <is>
          <t>Simple Lookup / Filter</t>
        </is>
      </c>
      <c r="G24" s="49" t="inlineStr">
        <is>
          <t>Moderate</t>
        </is>
      </c>
      <c r="H24" s="48" t="inlineStr">
        <is>
          <t>my_open_tasks</t>
        </is>
      </c>
      <c r="I24" s="48" t="inlineStr">
        <is>
          <t>What are my open tasks?</t>
        </is>
      </c>
      <c r="J24" s="48" t="inlineStr">
        <is>
          <t>Show tasks assigned to me that are not closed.</t>
        </is>
      </c>
      <c r="K24" s="48" t="inlineStr">
        <is>
          <t>List my pending work items.</t>
        </is>
      </c>
      <c r="L24" s="48" t="inlineStr">
        <is>
          <t>current_user</t>
        </is>
      </c>
      <c r="M24" s="48" t="inlineStr">
        <is>
          <t>Fast operational lookup and drill-down.</t>
        </is>
      </c>
      <c r="N24" s="48" t="inlineStr">
        <is>
          <t>Direct lookup/filter; no derived KPI.</t>
        </is>
      </c>
      <c r="O24" s="48" t="inlineStr">
        <is>
          <t>tbl_project_task_users; tbl_project_tasks; task status</t>
        </is>
      </c>
      <c r="P24" s="48" t="inlineStr">
        <is>
          <t>N/A</t>
        </is>
      </c>
      <c r="Q24" s="48" t="inlineStr">
        <is>
          <t>Parameterized lookup/filter</t>
        </is>
      </c>
      <c r="R24" s="50" t="inlineStr">
        <is>
          <t>Medium</t>
        </is>
      </c>
      <c r="S24" s="48" t="inlineStr">
        <is>
          <t>FAQ/NL2SQL cached template or Orbit aggregation tool; execute on live data</t>
        </is>
      </c>
      <c r="T24" s="48" t="inlineStr">
        <is>
          <t>Not Mapped – Business Rule Required</t>
        </is>
      </c>
      <c r="U24" s="48" t="n"/>
      <c r="V24" s="48" t="inlineStr">
        <is>
          <t>Define open status types and whether task_owner also counts.</t>
        </is>
      </c>
    </row>
    <row r="25" ht="72" customHeight="1" s="38">
      <c r="A25" s="47" t="inlineStr">
        <is>
          <t>Existing – Retained</t>
        </is>
      </c>
      <c r="B25" s="48" t="n">
        <v>32</v>
      </c>
      <c r="C25" s="48" t="inlineStr">
        <is>
          <t>PM / Team Lead / Employee</t>
        </is>
      </c>
      <c r="D25" s="48" t="inlineStr">
        <is>
          <t>Low</t>
        </is>
      </c>
      <c r="E25" s="48" t="inlineStr">
        <is>
          <t>Tasks</t>
        </is>
      </c>
      <c r="F25" s="48" t="inlineStr">
        <is>
          <t>Simple Lookup / Filter</t>
        </is>
      </c>
      <c r="G25" s="47" t="inlineStr">
        <is>
          <t>Simple</t>
        </is>
      </c>
      <c r="H25" s="48" t="inlineStr">
        <is>
          <t>my_tasks_due_today</t>
        </is>
      </c>
      <c r="I25" s="48" t="inlineStr">
        <is>
          <t>Which of my tasks are due today?</t>
        </is>
      </c>
      <c r="J25" s="48" t="inlineStr">
        <is>
          <t>Show my tasks with today’s due date.</t>
        </is>
      </c>
      <c r="K25" s="48" t="inlineStr">
        <is>
          <t>What work is due for me today?</t>
        </is>
      </c>
      <c r="L25" s="48" t="inlineStr">
        <is>
          <t>current_user, current_date</t>
        </is>
      </c>
      <c r="M25" s="48" t="inlineStr">
        <is>
          <t>Fast operational lookup and drill-down.</t>
        </is>
      </c>
      <c r="N25" s="48" t="inlineStr">
        <is>
          <t>Direct lookup/filter; no derived KPI.</t>
        </is>
      </c>
      <c r="O25" s="48" t="inlineStr">
        <is>
          <t>task users; tasks</t>
        </is>
      </c>
      <c r="P25" s="48" t="inlineStr">
        <is>
          <t>Data Available</t>
        </is>
      </c>
      <c r="Q25" s="48" t="inlineStr">
        <is>
          <t>Parameterized lookup/filter</t>
        </is>
      </c>
      <c r="R25" s="47" t="inlineStr">
        <is>
          <t>Low</t>
        </is>
      </c>
      <c r="S25" s="48" t="inlineStr">
        <is>
          <t>FAQ Tool Call Binding + parameterized SQL; cache intent/SQL, not live response</t>
        </is>
      </c>
      <c r="T25" s="48" t="inlineStr">
        <is>
          <t>Mapped – Direct Schema</t>
        </is>
      </c>
      <c r="U25" s="48" t="inlineStr">
        <is>
          <t>SELECT t.task_id, t.reference_no, t.title, p.title AS project_title, t.due_date, ts.status_name, t.priority, t.rag, t.percent_complete FROM tbl_project_task_users tu JOIN tbl_project_tasks t ON t.task_id = tu.task_id JOIN tbl_projects p ON p.project_id = t.project_id LEFT JOIN tbl_project_task_status ts ON ts.task_status_id = t.task_status_id WHERE tu.user_id = :current_user_id AND tu.status = 1 AND t.status = 1 AND t.archive = 0 AND DATE(t.due_date) = CURRENT_DATE ORDER BY t.due_date, t.reference_no;</t>
        </is>
      </c>
      <c r="V25" s="48" t="inlineStr">
        <is>
          <t>Use organization timezone.</t>
        </is>
      </c>
    </row>
    <row r="26" ht="72" customHeight="1" s="38">
      <c r="A26" s="47" t="inlineStr">
        <is>
          <t>Existing – Retained</t>
        </is>
      </c>
      <c r="B26" s="48" t="n">
        <v>33</v>
      </c>
      <c r="C26" s="48" t="inlineStr">
        <is>
          <t>PM / Team Lead / Employee</t>
        </is>
      </c>
      <c r="D26" s="48" t="inlineStr">
        <is>
          <t>Medium</t>
        </is>
      </c>
      <c r="E26" s="48" t="inlineStr">
        <is>
          <t>Tasks</t>
        </is>
      </c>
      <c r="F26" s="48" t="inlineStr">
        <is>
          <t>Exception / Diagnostic</t>
        </is>
      </c>
      <c r="G26" s="51" t="inlineStr">
        <is>
          <t>Complex</t>
        </is>
      </c>
      <c r="H26" s="48" t="inlineStr">
        <is>
          <t>my_overdue_tasks</t>
        </is>
      </c>
      <c r="I26" s="48" t="inlineStr">
        <is>
          <t>Which of my tasks are overdue?</t>
        </is>
      </c>
      <c r="J26" s="48" t="inlineStr">
        <is>
          <t>Show my delayed tasks.</t>
        </is>
      </c>
      <c r="K26" s="48" t="inlineStr">
        <is>
          <t>List my open tasks past their due date.</t>
        </is>
      </c>
      <c r="L26" s="48" t="inlineStr">
        <is>
          <t>current_user, as_of_date</t>
        </is>
      </c>
      <c r="M26" s="48" t="inlineStr">
        <is>
          <t>Identify exceptions requiring owner action.</t>
        </is>
      </c>
      <c r="N26" s="48" t="inlineStr">
        <is>
          <t>Define open statuses.</t>
        </is>
      </c>
      <c r="O26" s="48" t="inlineStr">
        <is>
          <t>task users; tasks; task status</t>
        </is>
      </c>
      <c r="P26" s="48" t="inlineStr">
        <is>
          <t>N/A</t>
        </is>
      </c>
      <c r="Q26" s="48" t="inlineStr">
        <is>
          <t>Exception query with joins and threshold filters</t>
        </is>
      </c>
      <c r="R26" s="52" t="inlineStr">
        <is>
          <t>High</t>
        </is>
      </c>
      <c r="S26" s="48" t="inlineStr">
        <is>
          <t>Orbit KPI Tool with predefined metric logic; Mesh may explain results but must not calculate metrics freely</t>
        </is>
      </c>
      <c r="T26" s="48" t="inlineStr">
        <is>
          <t>Not Applicable – Non-Direct Support</t>
        </is>
      </c>
      <c r="U26" s="48" t="n"/>
      <c r="V26" s="48" t="inlineStr">
        <is>
          <t>Define open statuses.</t>
        </is>
      </c>
    </row>
    <row r="27" ht="72" customHeight="1" s="38">
      <c r="A27" s="47" t="inlineStr">
        <is>
          <t>Existing – Retained</t>
        </is>
      </c>
      <c r="B27" s="48" t="n">
        <v>34</v>
      </c>
      <c r="C27" s="48" t="inlineStr">
        <is>
          <t>PM / Team Lead / Employee</t>
        </is>
      </c>
      <c r="D27" s="48" t="inlineStr">
        <is>
          <t>Low</t>
        </is>
      </c>
      <c r="E27" s="48" t="inlineStr">
        <is>
          <t>Tasks</t>
        </is>
      </c>
      <c r="F27" s="48" t="inlineStr">
        <is>
          <t>Simple Lookup / Filter</t>
        </is>
      </c>
      <c r="G27" s="47" t="inlineStr">
        <is>
          <t>Simple</t>
        </is>
      </c>
      <c r="H27" s="48" t="inlineStr">
        <is>
          <t>tasks_assigned_to_user</t>
        </is>
      </c>
      <c r="I27" s="48" t="inlineStr">
        <is>
          <t>Show tasks assigned to :employee_name.</t>
        </is>
      </c>
      <c r="J27" s="48" t="inlineStr">
        <is>
          <t>List :employee_name’s tasks.</t>
        </is>
      </c>
      <c r="K27" s="48" t="inlineStr">
        <is>
          <t>What work is assigned to :employee_name?</t>
        </is>
      </c>
      <c r="L27" s="48" t="inlineStr">
        <is>
          <t>employee_name</t>
        </is>
      </c>
      <c r="M27" s="48" t="inlineStr">
        <is>
          <t>Fast operational lookup and drill-down.</t>
        </is>
      </c>
      <c r="N27" s="48" t="inlineStr">
        <is>
          <t>Direct lookup/filter; no derived KPI.</t>
        </is>
      </c>
      <c r="O27" s="48" t="inlineStr">
        <is>
          <t>tbl_project_task_users; tbl_users; tasks</t>
        </is>
      </c>
      <c r="P27" s="48" t="inlineStr">
        <is>
          <t>Data Available</t>
        </is>
      </c>
      <c r="Q27" s="48" t="inlineStr">
        <is>
          <t>Parameterized lookup/filter</t>
        </is>
      </c>
      <c r="R27" s="47" t="inlineStr">
        <is>
          <t>Low</t>
        </is>
      </c>
      <c r="S27" s="48" t="inlineStr">
        <is>
          <t>FAQ Tool Call Binding + parameterized SQL; cache intent/SQL, not live response</t>
        </is>
      </c>
      <c r="T27" s="48" t="inlineStr">
        <is>
          <t>Mapped – Direct Schema</t>
        </is>
      </c>
      <c r="U27" s="48" t="inlineStr">
        <is>
          <t>SELECT u.user_id, CONCAT_WS(' ', u.first_name, u.last_name) AS employee_name, p.title AS project_title, t.task_id, t.reference_no, t.title AS task_title, t.due_date, ts.status_name, tu.allot_percentage FROM tbl_users u JOIN tbl_project_task_users tu ON tu.user_id = u.user_id JOIN tbl_project_tasks t ON t.task_id = tu.task_id JOIN tbl_projects p ON p.project_id = t.project_id LEFT JOIN tbl_project_task_status ts ON ts.task_status_id = t.task_status_id WHERE CONCAT_WS(' ', u.first_name, u.last_name) = :employee_name AND tu.status = 1 AND t.status = 1 AND t.archive = 0 ORDER BY p.title, t.due_date, t.reference_no;</t>
        </is>
      </c>
      <c r="V27" s="48" t="inlineStr">
        <is>
          <t>Handle active assignment status.</t>
        </is>
      </c>
    </row>
    <row r="28" ht="72" customHeight="1" s="38">
      <c r="A28" s="47" t="inlineStr">
        <is>
          <t>Existing – Retained</t>
        </is>
      </c>
      <c r="B28" s="48" t="n">
        <v>35</v>
      </c>
      <c r="C28" s="48" t="inlineStr">
        <is>
          <t>PM / Team Lead / Employee</t>
        </is>
      </c>
      <c r="D28" s="48" t="inlineStr">
        <is>
          <t>Medium</t>
        </is>
      </c>
      <c r="E28" s="48" t="inlineStr">
        <is>
          <t>Tasks</t>
        </is>
      </c>
      <c r="F28" s="48" t="inlineStr">
        <is>
          <t>Derived Analysis</t>
        </is>
      </c>
      <c r="G28" s="51" t="inlineStr">
        <is>
          <t>Complex</t>
        </is>
      </c>
      <c r="H28" s="48" t="inlineStr">
        <is>
          <t>project_open_tasks</t>
        </is>
      </c>
      <c r="I28" s="48" t="inlineStr">
        <is>
          <t>Show open tasks for :project_name.</t>
        </is>
      </c>
      <c r="J28" s="48" t="inlineStr">
        <is>
          <t>List pending tasks under :project_name.</t>
        </is>
      </c>
      <c r="K28" s="48" t="inlineStr">
        <is>
          <t>What work remains for :project_name?</t>
        </is>
      </c>
      <c r="L28" s="48" t="inlineStr">
        <is>
          <t>project_name</t>
        </is>
      </c>
      <c r="M28" s="48" t="inlineStr">
        <is>
          <t>Support governed management analysis.</t>
        </is>
      </c>
      <c r="N28" s="48" t="inlineStr">
        <is>
          <t>Define open statuses.</t>
        </is>
      </c>
      <c r="O28" s="48" t="inlineStr">
        <is>
          <t>tasks; task status</t>
        </is>
      </c>
      <c r="P28" s="48" t="inlineStr">
        <is>
          <t>N/A</t>
        </is>
      </c>
      <c r="Q28" s="48" t="inlineStr">
        <is>
          <t>Governed multi-table query</t>
        </is>
      </c>
      <c r="R28" s="52" t="inlineStr">
        <is>
          <t>High</t>
        </is>
      </c>
      <c r="S28" s="48" t="inlineStr">
        <is>
          <t>Orbit KPI Tool with predefined metric logic; Mesh may explain results but must not calculate metrics freely</t>
        </is>
      </c>
      <c r="T28" s="48" t="inlineStr">
        <is>
          <t>Not Applicable – Non-Direct Support</t>
        </is>
      </c>
      <c r="U28" s="48" t="n"/>
      <c r="V28" s="48" t="inlineStr">
        <is>
          <t>Define open statuses.</t>
        </is>
      </c>
    </row>
    <row r="29" ht="72" customHeight="1" s="38">
      <c r="A29" s="47" t="inlineStr">
        <is>
          <t>Existing – Retained</t>
        </is>
      </c>
      <c r="B29" s="48" t="n">
        <v>36</v>
      </c>
      <c r="C29" s="48" t="inlineStr">
        <is>
          <t>PM / Team Lead / Employee</t>
        </is>
      </c>
      <c r="D29" s="48" t="inlineStr">
        <is>
          <t>Medium</t>
        </is>
      </c>
      <c r="E29" s="48" t="inlineStr">
        <is>
          <t>Tasks</t>
        </is>
      </c>
      <c r="F29" s="48" t="inlineStr">
        <is>
          <t>Derived Analysis</t>
        </is>
      </c>
      <c r="G29" s="51" t="inlineStr">
        <is>
          <t>Complex</t>
        </is>
      </c>
      <c r="H29" s="48" t="inlineStr">
        <is>
          <t>project_closed_tasks</t>
        </is>
      </c>
      <c r="I29" s="48" t="inlineStr">
        <is>
          <t>Show completed tasks for :project_name.</t>
        </is>
      </c>
      <c r="J29" s="48" t="inlineStr">
        <is>
          <t>List closed tasks under :project_name.</t>
        </is>
      </c>
      <c r="K29" s="48" t="inlineStr">
        <is>
          <t>What tasks are finished in :project_name?</t>
        </is>
      </c>
      <c r="L29" s="48" t="inlineStr">
        <is>
          <t>project_name</t>
        </is>
      </c>
      <c r="M29" s="48" t="inlineStr">
        <is>
          <t>Support governed management analysis.</t>
        </is>
      </c>
      <c r="N29" s="48" t="inlineStr">
        <is>
          <t>Define closed status types.</t>
        </is>
      </c>
      <c r="O29" s="48" t="inlineStr">
        <is>
          <t>tasks; task status</t>
        </is>
      </c>
      <c r="P29" s="48" t="inlineStr">
        <is>
          <t>N/A</t>
        </is>
      </c>
      <c r="Q29" s="48" t="inlineStr">
        <is>
          <t>Governed multi-table query</t>
        </is>
      </c>
      <c r="R29" s="52" t="inlineStr">
        <is>
          <t>High</t>
        </is>
      </c>
      <c r="S29" s="48" t="inlineStr">
        <is>
          <t>Orbit KPI Tool with predefined metric logic; Mesh may explain results but must not calculate metrics freely</t>
        </is>
      </c>
      <c r="T29" s="48" t="inlineStr">
        <is>
          <t>Not Applicable – Non-Direct Support</t>
        </is>
      </c>
      <c r="U29" s="48" t="n"/>
      <c r="V29" s="48" t="inlineStr">
        <is>
          <t>Define closed status types.</t>
        </is>
      </c>
    </row>
    <row r="30" ht="72" customHeight="1" s="38">
      <c r="A30" s="47" t="inlineStr">
        <is>
          <t>Existing – Retained</t>
        </is>
      </c>
      <c r="B30" s="48" t="n">
        <v>37</v>
      </c>
      <c r="C30" s="48" t="inlineStr">
        <is>
          <t>PM / Team Lead / Employee</t>
        </is>
      </c>
      <c r="D30" s="48" t="inlineStr">
        <is>
          <t>Medium</t>
        </is>
      </c>
      <c r="E30" s="48" t="inlineStr">
        <is>
          <t>Tasks</t>
        </is>
      </c>
      <c r="F30" s="48" t="inlineStr">
        <is>
          <t>Exception / Diagnostic</t>
        </is>
      </c>
      <c r="G30" s="51" t="inlineStr">
        <is>
          <t>Complex</t>
        </is>
      </c>
      <c r="H30" s="48" t="inlineStr">
        <is>
          <t>unassigned_tasks</t>
        </is>
      </c>
      <c r="I30" s="48" t="inlineStr">
        <is>
          <t>Which tasks are unassigned?</t>
        </is>
      </c>
      <c r="J30" s="48" t="inlineStr">
        <is>
          <t>Show tasks with no active assignee.</t>
        </is>
      </c>
      <c r="K30" s="48" t="inlineStr">
        <is>
          <t>List unallocated tasks.</t>
        </is>
      </c>
      <c r="L30" s="48" t="inlineStr">
        <is>
          <t>project_scope</t>
        </is>
      </c>
      <c r="M30" s="48" t="inlineStr">
        <is>
          <t>Identify exceptions requiring owner action.</t>
        </is>
      </c>
      <c r="N30" s="48" t="inlineStr">
        <is>
          <t>Confirm whether task_owner is an assignment.</t>
        </is>
      </c>
      <c r="O30" s="48" t="inlineStr">
        <is>
          <t>tasks; task users</t>
        </is>
      </c>
      <c r="P30" s="48" t="inlineStr">
        <is>
          <t>N/A</t>
        </is>
      </c>
      <c r="Q30" s="48" t="inlineStr">
        <is>
          <t>Exception query with joins and threshold filters</t>
        </is>
      </c>
      <c r="R30" s="52" t="inlineStr">
        <is>
          <t>High</t>
        </is>
      </c>
      <c r="S30" s="48" t="inlineStr">
        <is>
          <t>Orbit KPI Tool with predefined metric logic; Mesh may explain results but must not calculate metrics freely</t>
        </is>
      </c>
      <c r="T30" s="48" t="inlineStr">
        <is>
          <t>Not Applicable – Non-Direct Support</t>
        </is>
      </c>
      <c r="U30" s="48" t="n"/>
      <c r="V30" s="48" t="inlineStr">
        <is>
          <t>Confirm whether task_owner is an assignment.</t>
        </is>
      </c>
    </row>
    <row r="31" ht="72" customHeight="1" s="38">
      <c r="A31" s="47" t="inlineStr">
        <is>
          <t>Existing – Retained</t>
        </is>
      </c>
      <c r="B31" s="48" t="n">
        <v>38</v>
      </c>
      <c r="C31" s="48" t="inlineStr">
        <is>
          <t>PM / Team Lead / Employee</t>
        </is>
      </c>
      <c r="D31" s="48" t="inlineStr">
        <is>
          <t>Medium</t>
        </is>
      </c>
      <c r="E31" s="48" t="inlineStr">
        <is>
          <t>Tasks</t>
        </is>
      </c>
      <c r="F31" s="48" t="inlineStr">
        <is>
          <t>Derived Analysis</t>
        </is>
      </c>
      <c r="G31" s="51" t="inlineStr">
        <is>
          <t>Complex</t>
        </is>
      </c>
      <c r="H31" s="48" t="inlineStr">
        <is>
          <t>high_priority_tasks</t>
        </is>
      </c>
      <c r="I31" s="48" t="inlineStr">
        <is>
          <t>Show high-priority open tasks.</t>
        </is>
      </c>
      <c r="J31" s="48" t="inlineStr">
        <is>
          <t>List urgent pending tasks.</t>
        </is>
      </c>
      <c r="K31" s="48" t="inlineStr">
        <is>
          <t>Which open tasks have high priority?</t>
        </is>
      </c>
      <c r="L31" s="48" t="inlineStr">
        <is>
          <t>project_scope</t>
        </is>
      </c>
      <c r="M31" s="48" t="inlineStr">
        <is>
          <t>Support governed management analysis.</t>
        </is>
      </c>
      <c r="N31" s="48" t="inlineStr">
        <is>
          <t>Confirm priority values.</t>
        </is>
      </c>
      <c r="O31" s="48" t="inlineStr">
        <is>
          <t>tasks.priority; task status</t>
        </is>
      </c>
      <c r="P31" s="48" t="inlineStr">
        <is>
          <t>N/A</t>
        </is>
      </c>
      <c r="Q31" s="48" t="inlineStr">
        <is>
          <t>Governed multi-table query</t>
        </is>
      </c>
      <c r="R31" s="52" t="inlineStr">
        <is>
          <t>High</t>
        </is>
      </c>
      <c r="S31" s="48" t="inlineStr">
        <is>
          <t>Orbit KPI Tool with predefined metric logic; Mesh may explain results but must not calculate metrics freely</t>
        </is>
      </c>
      <c r="T31" s="48" t="inlineStr">
        <is>
          <t>Not Applicable – Non-Direct Support</t>
        </is>
      </c>
      <c r="U31" s="48" t="n"/>
      <c r="V31" s="48" t="inlineStr">
        <is>
          <t>Confirm priority values.</t>
        </is>
      </c>
    </row>
    <row r="32" ht="72" customHeight="1" s="38">
      <c r="A32" s="47" t="inlineStr">
        <is>
          <t>Existing – Retained</t>
        </is>
      </c>
      <c r="B32" s="48" t="n">
        <v>39</v>
      </c>
      <c r="C32" s="48" t="inlineStr">
        <is>
          <t>PM / Team Lead / Employee</t>
        </is>
      </c>
      <c r="D32" s="48" t="inlineStr">
        <is>
          <t>Low</t>
        </is>
      </c>
      <c r="E32" s="48" t="inlineStr">
        <is>
          <t>Tasks</t>
        </is>
      </c>
      <c r="F32" s="48" t="inlineStr">
        <is>
          <t>Simple Lookup / Filter</t>
        </is>
      </c>
      <c r="G32" s="47" t="inlineStr">
        <is>
          <t>Simple</t>
        </is>
      </c>
      <c r="H32" s="48" t="inlineStr">
        <is>
          <t>red_rag_tasks</t>
        </is>
      </c>
      <c r="I32" s="48" t="inlineStr">
        <is>
          <t>Which tasks have a red RAG status?</t>
        </is>
      </c>
      <c r="J32" s="48" t="inlineStr">
        <is>
          <t>Show red-health tasks.</t>
        </is>
      </c>
      <c r="K32" s="48" t="inlineStr">
        <is>
          <t>List tasks flagged red.</t>
        </is>
      </c>
      <c r="L32" s="48" t="inlineStr">
        <is>
          <t>project_scope</t>
        </is>
      </c>
      <c r="M32" s="48" t="inlineStr">
        <is>
          <t>Fast operational lookup and drill-down.</t>
        </is>
      </c>
      <c r="N32" s="48" t="inlineStr">
        <is>
          <t>Direct lookup/filter; no derived KPI.</t>
        </is>
      </c>
      <c r="O32" s="48" t="inlineStr">
        <is>
          <t>tbl_project_tasks.rag</t>
        </is>
      </c>
      <c r="P32" s="48" t="inlineStr">
        <is>
          <t>Data Available</t>
        </is>
      </c>
      <c r="Q32" s="48" t="inlineStr">
        <is>
          <t>Parameterized lookup/filter</t>
        </is>
      </c>
      <c r="R32" s="47" t="inlineStr">
        <is>
          <t>Low</t>
        </is>
      </c>
      <c r="S32" s="48" t="inlineStr">
        <is>
          <t>FAQ Tool Call Binding + parameterized SQL; cache intent/SQL, not live response</t>
        </is>
      </c>
      <c r="T32" s="48" t="inlineStr">
        <is>
          <t>Mapped – Direct Schema</t>
        </is>
      </c>
      <c r="U32" s="48" t="inlineStr">
        <is>
          <t>SELECT t.task_id, t.reference_no, t.title, p.title AS project_title, t.rag, t.due_date, ts.status_name FROM tbl_project_tasks t JOIN tbl_projects p ON p.project_id = t.project_id LEFT JOIN tbl_project_task_status ts ON ts.task_status_id = t.task_status_id WHERE LOWER(t.rag) = 'red' AND t.status = 1 AND t.archive = 0 ORDER BY t.due_date, p.title;</t>
        </is>
      </c>
      <c r="V32" s="48" t="inlineStr">
        <is>
          <t>Confirm stored RAG values.</t>
        </is>
      </c>
    </row>
    <row r="33" ht="72" customHeight="1" s="38">
      <c r="A33" s="47" t="inlineStr">
        <is>
          <t>Existing – Retained</t>
        </is>
      </c>
      <c r="B33" s="48" t="n">
        <v>40</v>
      </c>
      <c r="C33" s="48" t="inlineStr">
        <is>
          <t>PM / Team Lead / Employee</t>
        </is>
      </c>
      <c r="D33" s="48" t="inlineStr">
        <is>
          <t>Low</t>
        </is>
      </c>
      <c r="E33" s="48" t="inlineStr">
        <is>
          <t>Tasks</t>
        </is>
      </c>
      <c r="F33" s="48" t="inlineStr">
        <is>
          <t>Simple Lookup / Filter</t>
        </is>
      </c>
      <c r="G33" s="47" t="inlineStr">
        <is>
          <t>Simple</t>
        </is>
      </c>
      <c r="H33" s="48" t="inlineStr">
        <is>
          <t>tasks_due_period</t>
        </is>
      </c>
      <c r="I33" s="48" t="inlineStr">
        <is>
          <t>Which tasks are due between :start_date and :end_date?</t>
        </is>
      </c>
      <c r="J33" s="48" t="inlineStr">
        <is>
          <t>Show tasks due in the selected period.</t>
        </is>
      </c>
      <c r="K33" s="48" t="inlineStr">
        <is>
          <t>List upcoming task deadlines.</t>
        </is>
      </c>
      <c r="L33" s="48" t="inlineStr">
        <is>
          <t>start_date, end_date</t>
        </is>
      </c>
      <c r="M33" s="48" t="inlineStr">
        <is>
          <t>Fast operational lookup and drill-down.</t>
        </is>
      </c>
      <c r="N33" s="48" t="inlineStr">
        <is>
          <t>Direct lookup/filter; no derived KPI.</t>
        </is>
      </c>
      <c r="O33" s="48" t="inlineStr">
        <is>
          <t>tbl_project_tasks.due_date</t>
        </is>
      </c>
      <c r="P33" s="48" t="inlineStr">
        <is>
          <t>Data Available</t>
        </is>
      </c>
      <c r="Q33" s="48" t="inlineStr">
        <is>
          <t>Parameterized lookup/filter</t>
        </is>
      </c>
      <c r="R33" s="47" t="inlineStr">
        <is>
          <t>Low</t>
        </is>
      </c>
      <c r="S33" s="48" t="inlineStr">
        <is>
          <t>FAQ Tool Call Binding + parameterized SQL; cache intent/SQL, not live response</t>
        </is>
      </c>
      <c r="T33" s="48" t="inlineStr">
        <is>
          <t>Mapped – Direct Schema</t>
        </is>
      </c>
      <c r="U33" s="48" t="inlineStr">
        <is>
          <t>SELECT t.task_id, t.reference_no, t.title, p.title AS project_title, t.due_date, ts.status_name, t.priority, t.rag FROM tbl_project_tasks t JOIN tbl_projects p ON p.project_id = t.project_id LEFT JOIN tbl_project_task_status ts ON ts.task_status_id = t.task_status_id WHERE t.due_date &gt;= :start_date AND t.due_date &lt; DATE_ADD(:end_date, INTERVAL 1 DAY) AND t.status = 1 AND t.archive = 0 ORDER BY t.due_date, p.title, t.reference_no;</t>
        </is>
      </c>
      <c r="V33" s="48" t="inlineStr">
        <is>
          <t>Default visibility scope required.</t>
        </is>
      </c>
    </row>
    <row r="34" ht="72" customHeight="1" s="38">
      <c r="A34" s="47" t="inlineStr">
        <is>
          <t>Existing – Retained</t>
        </is>
      </c>
      <c r="B34" s="48" t="n">
        <v>41</v>
      </c>
      <c r="C34" s="48" t="inlineStr">
        <is>
          <t>PM / Team Lead / Employee</t>
        </is>
      </c>
      <c r="D34" s="48" t="inlineStr">
        <is>
          <t>Low</t>
        </is>
      </c>
      <c r="E34" s="48" t="inlineStr">
        <is>
          <t>Tasks</t>
        </is>
      </c>
      <c r="F34" s="48" t="inlineStr">
        <is>
          <t>Simple Lookup / Filter</t>
        </is>
      </c>
      <c r="G34" s="47" t="inlineStr">
        <is>
          <t>Simple</t>
        </is>
      </c>
      <c r="H34" s="48" t="inlineStr">
        <is>
          <t>task_details</t>
        </is>
      </c>
      <c r="I34" s="48" t="inlineStr">
        <is>
          <t>Show details of task :task_reference.</t>
        </is>
      </c>
      <c r="J34" s="48" t="inlineStr">
        <is>
          <t>Give me the task summary for :task_reference.</t>
        </is>
      </c>
      <c r="K34" s="48" t="inlineStr">
        <is>
          <t>Open task :task_reference.</t>
        </is>
      </c>
      <c r="L34" s="48" t="inlineStr">
        <is>
          <t>task_reference</t>
        </is>
      </c>
      <c r="M34" s="48" t="inlineStr">
        <is>
          <t>Fast operational lookup and drill-down.</t>
        </is>
      </c>
      <c r="N34" s="48" t="inlineStr">
        <is>
          <t>Direct lookup/filter; no derived KPI.</t>
        </is>
      </c>
      <c r="O34" s="48" t="inlineStr">
        <is>
          <t>tbl_project_tasks</t>
        </is>
      </c>
      <c r="P34" s="48" t="inlineStr">
        <is>
          <t>Data Available</t>
        </is>
      </c>
      <c r="Q34" s="48" t="inlineStr">
        <is>
          <t>Parameterized lookup/filter</t>
        </is>
      </c>
      <c r="R34" s="47" t="inlineStr">
        <is>
          <t>Low</t>
        </is>
      </c>
      <c r="S34" s="48" t="inlineStr">
        <is>
          <t>FAQ Tool Call Binding + parameterized SQL; cache intent/SQL, not live response</t>
        </is>
      </c>
      <c r="T34" s="48" t="inlineStr">
        <is>
          <t>Mapped – Direct Schema</t>
        </is>
      </c>
      <c r="U34" s="48" t="inlineStr">
        <is>
          <t>SELECT t.task_id, t.reference_no, t.title, t.description, p.project_id, p.title AS project_title, t.task_owner, t.start_date, t.due_date, t.task_status_id, ts.status_name, t.priority, t.rag, t.estimate, t.actual_hours, t.percent_complete, t.update_date FROM tbl_project_tasks t JOIN tbl_projects p ON p.project_id = t.project_id LEFT JOIN tbl_project_task_status ts ON ts.task_status_id = t.task_status_id WHERE t.reference_no = :task_reference AND t.status = 1 AND t.archive = 0;</t>
        </is>
      </c>
      <c r="V34" s="48" t="inlineStr">
        <is>
          <t>Prefer reference_no over title.</t>
        </is>
      </c>
    </row>
    <row r="35" ht="72" customHeight="1" s="38">
      <c r="A35" s="47" t="inlineStr">
        <is>
          <t>Existing – Retained</t>
        </is>
      </c>
      <c r="B35" s="48" t="n">
        <v>42</v>
      </c>
      <c r="C35" s="48" t="inlineStr">
        <is>
          <t>PM / Team Lead / Employee</t>
        </is>
      </c>
      <c r="D35" s="48" t="inlineStr">
        <is>
          <t>Low</t>
        </is>
      </c>
      <c r="E35" s="48" t="inlineStr">
        <is>
          <t>Tasks</t>
        </is>
      </c>
      <c r="F35" s="48" t="inlineStr">
        <is>
          <t>Simple Lookup / Filter</t>
        </is>
      </c>
      <c r="G35" s="47" t="inlineStr">
        <is>
          <t>Simple</t>
        </is>
      </c>
      <c r="H35" s="48" t="inlineStr">
        <is>
          <t>subtasks_of_task</t>
        </is>
      </c>
      <c r="I35" s="48" t="inlineStr">
        <is>
          <t>Show subtasks of :task_reference.</t>
        </is>
      </c>
      <c r="J35" s="48" t="inlineStr">
        <is>
          <t>List child tasks under :task_reference.</t>
        </is>
      </c>
      <c r="K35" s="48" t="inlineStr">
        <is>
          <t>What tasks depend hierarchically on :task_reference?</t>
        </is>
      </c>
      <c r="L35" s="48" t="inlineStr">
        <is>
          <t>task_reference</t>
        </is>
      </c>
      <c r="M35" s="48" t="inlineStr">
        <is>
          <t>Fast operational lookup and drill-down.</t>
        </is>
      </c>
      <c r="N35" s="48" t="inlineStr">
        <is>
          <t>Direct lookup/filter; no derived KPI.</t>
        </is>
      </c>
      <c r="O35" s="48" t="inlineStr">
        <is>
          <t>tbl_project_tasks.parent_id</t>
        </is>
      </c>
      <c r="P35" s="48" t="inlineStr">
        <is>
          <t>Data Available</t>
        </is>
      </c>
      <c r="Q35" s="48" t="inlineStr">
        <is>
          <t>Parameterized lookup/filter</t>
        </is>
      </c>
      <c r="R35" s="47" t="inlineStr">
        <is>
          <t>Low</t>
        </is>
      </c>
      <c r="S35" s="48" t="inlineStr">
        <is>
          <t>FAQ Tool Call Binding + parameterized SQL; cache intent/SQL, not live response</t>
        </is>
      </c>
      <c r="T35" s="48" t="inlineStr">
        <is>
          <t>Mapped – Direct Schema</t>
        </is>
      </c>
      <c r="U35" s="48" t="inlineStr">
        <is>
          <t>SELECT c.task_id, c.reference_no, c.title, c.start_date, c.due_date, ts.status_name, c.priority, c.rag, c.percent_complete FROM tbl_project_tasks parent JOIN tbl_project_tasks c ON c.parent_id = parent.task_id LEFT JOIN tbl_project_task_status ts ON ts.task_status_id = c.task_status_id WHERE parent.reference_no = :task_reference AND c.status = 1 AND c.archive = 0 ORDER BY c.due_date, c.reference_no;</t>
        </is>
      </c>
      <c r="V35" s="48" t="inlineStr">
        <is>
          <t>Hierarchy only; not dependency semantics.</t>
        </is>
      </c>
    </row>
    <row r="36" ht="72" customHeight="1" s="38">
      <c r="A36" s="47" t="inlineStr">
        <is>
          <t>Existing – Retained</t>
        </is>
      </c>
      <c r="B36" s="48" t="n">
        <v>43</v>
      </c>
      <c r="C36" s="48" t="inlineStr">
        <is>
          <t>PM / Team Lead / Employee</t>
        </is>
      </c>
      <c r="D36" s="48" t="inlineStr">
        <is>
          <t>Low</t>
        </is>
      </c>
      <c r="E36" s="48" t="inlineStr">
        <is>
          <t>Tasks</t>
        </is>
      </c>
      <c r="F36" s="48" t="inlineStr">
        <is>
          <t>Simple Lookup / Filter</t>
        </is>
      </c>
      <c r="G36" s="47" t="inlineStr">
        <is>
          <t>Simple</t>
        </is>
      </c>
      <c r="H36" s="48" t="inlineStr">
        <is>
          <t>task_assignees</t>
        </is>
      </c>
      <c r="I36" s="48" t="inlineStr">
        <is>
          <t>Who is assigned to task :task_reference?</t>
        </is>
      </c>
      <c r="J36" s="48" t="inlineStr">
        <is>
          <t>Show all assignees for :task_reference.</t>
        </is>
      </c>
      <c r="K36" s="48" t="inlineStr">
        <is>
          <t>Which users are allocated to :task_reference?</t>
        </is>
      </c>
      <c r="L36" s="48" t="inlineStr">
        <is>
          <t>task_reference</t>
        </is>
      </c>
      <c r="M36" s="48" t="inlineStr">
        <is>
          <t>Fast operational lookup and drill-down.</t>
        </is>
      </c>
      <c r="N36" s="48" t="inlineStr">
        <is>
          <t>Direct lookup/filter; no derived KPI.</t>
        </is>
      </c>
      <c r="O36" s="48" t="inlineStr">
        <is>
          <t>tbl_project_task_users; tbl_users</t>
        </is>
      </c>
      <c r="P36" s="48" t="inlineStr">
        <is>
          <t>Data Available</t>
        </is>
      </c>
      <c r="Q36" s="48" t="inlineStr">
        <is>
          <t>Parameterized lookup/filter</t>
        </is>
      </c>
      <c r="R36" s="47" t="inlineStr">
        <is>
          <t>Low</t>
        </is>
      </c>
      <c r="S36" s="48" t="inlineStr">
        <is>
          <t>FAQ Tool Call Binding + parameterized SQL; cache intent/SQL, not live response</t>
        </is>
      </c>
      <c r="T36" s="48" t="inlineStr">
        <is>
          <t>Mapped – Direct Schema</t>
        </is>
      </c>
      <c r="U36" s="48" t="inlineStr">
        <is>
          <t>SELECT u.user_id, CONCAT_WS(' ', u.first_name, u.last_name) AS employee_name, u.email, tu.allot_percentage, tu.post_date AS assigned_on FROM tbl_project_tasks t JOIN tbl_project_task_users tu ON tu.task_id = t.task_id JOIN tbl_users u ON u.user_id = tu.user_id WHERE t.reference_no = :task_reference AND tu.status = 1 ORDER BY employee_name;</t>
        </is>
      </c>
      <c r="V36" s="48" t="inlineStr">
        <is>
          <t>Include allot_percentage.</t>
        </is>
      </c>
    </row>
    <row r="37" ht="72" customHeight="1" s="38">
      <c r="A37" s="47" t="inlineStr">
        <is>
          <t>Existing – Retained</t>
        </is>
      </c>
      <c r="B37" s="48" t="n">
        <v>44</v>
      </c>
      <c r="C37" s="48" t="inlineStr">
        <is>
          <t>PM / Team Lead / Employee</t>
        </is>
      </c>
      <c r="D37" s="48" t="inlineStr">
        <is>
          <t>Low</t>
        </is>
      </c>
      <c r="E37" s="48" t="inlineStr">
        <is>
          <t>Tasks</t>
        </is>
      </c>
      <c r="F37" s="48" t="inlineStr">
        <is>
          <t>Simple Lookup / Filter</t>
        </is>
      </c>
      <c r="G37" s="47" t="inlineStr">
        <is>
          <t>Simple</t>
        </is>
      </c>
      <c r="H37" s="48" t="inlineStr">
        <is>
          <t>task_allocation_percentages</t>
        </is>
      </c>
      <c r="I37" s="48" t="inlineStr">
        <is>
          <t>Show allocation percentages for task :task_reference.</t>
        </is>
      </c>
      <c r="J37" s="48" t="inlineStr">
        <is>
          <t>How is task :task_reference allocated?</t>
        </is>
      </c>
      <c r="K37" s="48" t="inlineStr">
        <is>
          <t>List assignees and percentages for :task_reference.</t>
        </is>
      </c>
      <c r="L37" s="48" t="inlineStr">
        <is>
          <t>task_reference</t>
        </is>
      </c>
      <c r="M37" s="48" t="inlineStr">
        <is>
          <t>Fast operational lookup and drill-down.</t>
        </is>
      </c>
      <c r="N37" s="48" t="inlineStr">
        <is>
          <t>Direct lookup/filter; no derived KPI.</t>
        </is>
      </c>
      <c r="O37" s="48" t="inlineStr">
        <is>
          <t>tbl_project_task_users.allot_percentage</t>
        </is>
      </c>
      <c r="P37" s="48" t="inlineStr">
        <is>
          <t>Data Available</t>
        </is>
      </c>
      <c r="Q37" s="48" t="inlineStr">
        <is>
          <t>Parameterized lookup/filter</t>
        </is>
      </c>
      <c r="R37" s="47" t="inlineStr">
        <is>
          <t>Low</t>
        </is>
      </c>
      <c r="S37" s="48" t="inlineStr">
        <is>
          <t>FAQ Tool Call Binding + parameterized SQL; cache intent/SQL, not live response</t>
        </is>
      </c>
      <c r="T37" s="48" t="inlineStr">
        <is>
          <t>Mapped – Direct Schema</t>
        </is>
      </c>
      <c r="U37" s="48" t="inlineStr">
        <is>
          <t>SELECT u.user_id, CONCAT_WS(' ', u.first_name, u.last_name) AS employee_name, tu.allot_percentage FROM tbl_project_tasks t JOIN tbl_project_task_users tu ON tu.task_id = t.task_id JOIN tbl_users u ON u.user_id = tu.user_id WHERE t.reference_no = :task_reference AND tu.status = 1 ORDER BY tu.allot_percentage DESC, employee_name;</t>
        </is>
      </c>
      <c r="V37" s="48" t="inlineStr">
        <is>
          <t>Confirm whether total may exceed 100%.</t>
        </is>
      </c>
    </row>
    <row r="38" ht="72" customHeight="1" s="38">
      <c r="A38" s="47" t="inlineStr">
        <is>
          <t>Existing – Retained</t>
        </is>
      </c>
      <c r="B38" s="48" t="n">
        <v>45</v>
      </c>
      <c r="C38" s="48" t="inlineStr">
        <is>
          <t>PM / Team Lead / Employee</t>
        </is>
      </c>
      <c r="D38" s="48" t="inlineStr">
        <is>
          <t>Medium</t>
        </is>
      </c>
      <c r="E38" s="48" t="inlineStr">
        <is>
          <t>Tasks</t>
        </is>
      </c>
      <c r="F38" s="48" t="inlineStr">
        <is>
          <t>Exception / Diagnostic</t>
        </is>
      </c>
      <c r="G38" s="51" t="inlineStr">
        <is>
          <t>Complex</t>
        </is>
      </c>
      <c r="H38" s="48" t="inlineStr">
        <is>
          <t>tasks_without_due_date</t>
        </is>
      </c>
      <c r="I38" s="48" t="inlineStr">
        <is>
          <t>Which open tasks have no due date?</t>
        </is>
      </c>
      <c r="J38" s="48" t="inlineStr">
        <is>
          <t>Show pending tasks missing deadlines.</t>
        </is>
      </c>
      <c r="K38" s="48" t="inlineStr">
        <is>
          <t>List tasks without a due date.</t>
        </is>
      </c>
      <c r="L38" s="48" t="inlineStr">
        <is>
          <t>project_scope</t>
        </is>
      </c>
      <c r="M38" s="48" t="inlineStr">
        <is>
          <t>Identify exceptions requiring owner action.</t>
        </is>
      </c>
      <c r="N38" s="48" t="inlineStr">
        <is>
          <t>Define open statuses.</t>
        </is>
      </c>
      <c r="O38" s="48" t="inlineStr">
        <is>
          <t>tasks; task status</t>
        </is>
      </c>
      <c r="P38" s="48" t="inlineStr">
        <is>
          <t>N/A</t>
        </is>
      </c>
      <c r="Q38" s="48" t="inlineStr">
        <is>
          <t>Exception query with joins and threshold filters</t>
        </is>
      </c>
      <c r="R38" s="52" t="inlineStr">
        <is>
          <t>High</t>
        </is>
      </c>
      <c r="S38" s="48" t="inlineStr">
        <is>
          <t>Orbit KPI Tool with predefined metric logic; Mesh may explain results but must not calculate metrics freely</t>
        </is>
      </c>
      <c r="T38" s="48" t="inlineStr">
        <is>
          <t>Not Applicable – Non-Direct Support</t>
        </is>
      </c>
      <c r="U38" s="48" t="n"/>
      <c r="V38" s="48" t="inlineStr">
        <is>
          <t>Define open statuses.</t>
        </is>
      </c>
    </row>
    <row r="39" ht="72" customHeight="1" s="38">
      <c r="A39" s="47" t="inlineStr">
        <is>
          <t>Existing – Retained</t>
        </is>
      </c>
      <c r="B39" s="48" t="n">
        <v>46</v>
      </c>
      <c r="C39" s="48" t="inlineStr">
        <is>
          <t>PM / Team Lead / Employee</t>
        </is>
      </c>
      <c r="D39" s="48" t="inlineStr">
        <is>
          <t>Low</t>
        </is>
      </c>
      <c r="E39" s="48" t="inlineStr">
        <is>
          <t>Tasks</t>
        </is>
      </c>
      <c r="F39" s="48" t="inlineStr">
        <is>
          <t>Simple Lookup / Filter</t>
        </is>
      </c>
      <c r="G39" s="47" t="inlineStr">
        <is>
          <t>Simple</t>
        </is>
      </c>
      <c r="H39" s="48" t="inlineStr">
        <is>
          <t>task_progress</t>
        </is>
      </c>
      <c r="I39" s="48" t="inlineStr">
        <is>
          <t>What is the completion percentage of task :task_reference?</t>
        </is>
      </c>
      <c r="J39" s="48" t="inlineStr">
        <is>
          <t>Show progress for :task_reference.</t>
        </is>
      </c>
      <c r="K39" s="48" t="inlineStr">
        <is>
          <t>How complete is :task_reference?</t>
        </is>
      </c>
      <c r="L39" s="48" t="inlineStr">
        <is>
          <t>task_reference</t>
        </is>
      </c>
      <c r="M39" s="48" t="inlineStr">
        <is>
          <t>Fast operational lookup and drill-down.</t>
        </is>
      </c>
      <c r="N39" s="48" t="inlineStr">
        <is>
          <t>Direct lookup/filter; no derived KPI.</t>
        </is>
      </c>
      <c r="O39" s="48" t="inlineStr">
        <is>
          <t>tbl_project_tasks.percent_complete</t>
        </is>
      </c>
      <c r="P39" s="48" t="inlineStr">
        <is>
          <t>Data Available</t>
        </is>
      </c>
      <c r="Q39" s="48" t="inlineStr">
        <is>
          <t>Parameterized lookup/filter</t>
        </is>
      </c>
      <c r="R39" s="47" t="inlineStr">
        <is>
          <t>Low</t>
        </is>
      </c>
      <c r="S39" s="48" t="inlineStr">
        <is>
          <t>FAQ Tool Call Binding + parameterized SQL; cache intent/SQL, not live response</t>
        </is>
      </c>
      <c r="T39" s="48" t="inlineStr">
        <is>
          <t>Mapped – Direct Schema</t>
        </is>
      </c>
      <c r="U39" s="48" t="inlineStr">
        <is>
          <t>SELECT t.task_id, t.reference_no, t.title, t.percent_complete, ts.status_name, t.update_date FROM tbl_project_tasks t LEFT JOIN tbl_project_task_status ts ON ts.task_status_id = t.task_status_id WHERE t.reference_no = :task_reference AND t.status = 1 AND t.archive = 0;</t>
        </is>
      </c>
      <c r="V39" s="48" t="inlineStr">
        <is>
          <t>Validate scale 0–100.</t>
        </is>
      </c>
    </row>
    <row r="40" ht="72" customHeight="1" s="38">
      <c r="A40" s="47" t="inlineStr">
        <is>
          <t>Existing – Retained</t>
        </is>
      </c>
      <c r="B40" s="48" t="n">
        <v>47</v>
      </c>
      <c r="C40" s="48" t="inlineStr">
        <is>
          <t>PM / Team Lead / Employee</t>
        </is>
      </c>
      <c r="D40" s="48" t="inlineStr">
        <is>
          <t>Medium</t>
        </is>
      </c>
      <c r="E40" s="48" t="inlineStr">
        <is>
          <t>Tasks</t>
        </is>
      </c>
      <c r="F40" s="48" t="inlineStr">
        <is>
          <t>KPI / Comparative</t>
        </is>
      </c>
      <c r="G40" s="51" t="inlineStr">
        <is>
          <t>Complex</t>
        </is>
      </c>
      <c r="H40" s="48" t="inlineStr">
        <is>
          <t>task_estimate_vs_actual</t>
        </is>
      </c>
      <c r="I40" s="48" t="inlineStr">
        <is>
          <t>Compare estimate and actual hours for task :task_reference.</t>
        </is>
      </c>
      <c r="J40" s="48" t="inlineStr">
        <is>
          <t>Show planned versus actual effort for :task_reference.</t>
        </is>
      </c>
      <c r="K40" s="48" t="inlineStr">
        <is>
          <t>Is :task_reference over its estimate?</t>
        </is>
      </c>
      <c r="L40" s="48" t="inlineStr">
        <is>
          <t>task_reference</t>
        </is>
      </c>
      <c r="M40" s="48" t="inlineStr">
        <is>
          <t>Support prioritisation and performance comparison.</t>
        </is>
      </c>
      <c r="N40" s="48" t="inlineStr">
        <is>
          <t>Confirm units.</t>
        </is>
      </c>
      <c r="O40" s="48" t="inlineStr">
        <is>
          <t>tbl_project_tasks.estimate; actual_hours</t>
        </is>
      </c>
      <c r="P40" s="48" t="inlineStr">
        <is>
          <t>Data Available</t>
        </is>
      </c>
      <c r="Q40" s="48" t="inlineStr">
        <is>
          <t>Multi-table derived KPI with controlled formula</t>
        </is>
      </c>
      <c r="R40" s="52" t="inlineStr">
        <is>
          <t>High</t>
        </is>
      </c>
      <c r="S40" s="48" t="inlineStr">
        <is>
          <t>Orbit KPI Tool with predefined metric logic; Mesh may explain results but must not calculate metrics freely</t>
        </is>
      </c>
      <c r="T40" s="48" t="inlineStr">
        <is>
          <t>Mapped – Direct Schema</t>
        </is>
      </c>
      <c r="U40" s="48" t="inlineStr">
        <is>
          <t>SELECT t.task_id, t.reference_no, t.title, t.estimate AS estimated_hours, t.actual_hours, (t.actual_hours - t.estimate) AS variance_hours, t.estimate_complete AS remaining_estimate_hours FROM tbl_project_tasks t WHERE t.reference_no = :task_reference AND t.status = 1 AND t.archive = 0;</t>
        </is>
      </c>
      <c r="V40" s="48" t="inlineStr">
        <is>
          <t>Confirm units.</t>
        </is>
      </c>
    </row>
    <row r="41" ht="72" customHeight="1" s="38">
      <c r="A41" s="47" t="inlineStr">
        <is>
          <t>Existing – Retained</t>
        </is>
      </c>
      <c r="B41" s="48" t="n">
        <v>48</v>
      </c>
      <c r="C41" s="48" t="inlineStr">
        <is>
          <t>PM / Team Lead / Employee</t>
        </is>
      </c>
      <c r="D41" s="48" t="inlineStr">
        <is>
          <t>Medium</t>
        </is>
      </c>
      <c r="E41" s="48" t="inlineStr">
        <is>
          <t>Tasks</t>
        </is>
      </c>
      <c r="F41" s="48" t="inlineStr">
        <is>
          <t>Exception / Diagnostic</t>
        </is>
      </c>
      <c r="G41" s="51" t="inlineStr">
        <is>
          <t>Complex</t>
        </is>
      </c>
      <c r="H41" s="48" t="inlineStr">
        <is>
          <t>tasks_over_estimate</t>
        </is>
      </c>
      <c r="I41" s="48" t="inlineStr">
        <is>
          <t>Which tasks have exceeded their estimated hours?</t>
        </is>
      </c>
      <c r="J41" s="48" t="inlineStr">
        <is>
          <t>Show tasks where actual hours are above estimate.</t>
        </is>
      </c>
      <c r="K41" s="48" t="inlineStr">
        <is>
          <t>List effort-overrun tasks.</t>
        </is>
      </c>
      <c r="L41" s="48" t="inlineStr">
        <is>
          <t>project_scope</t>
        </is>
      </c>
      <c r="M41" s="48" t="inlineStr">
        <is>
          <t>Identify exceptions requiring owner action.</t>
        </is>
      </c>
      <c r="N41" s="48" t="inlineStr">
        <is>
          <t>Null/zero estimate handling.</t>
        </is>
      </c>
      <c r="O41" s="48" t="inlineStr">
        <is>
          <t>tbl_project_tasks.estimate; actual_hours</t>
        </is>
      </c>
      <c r="P41" s="48" t="inlineStr">
        <is>
          <t>N/A</t>
        </is>
      </c>
      <c r="Q41" s="48" t="inlineStr">
        <is>
          <t>Exception query with joins and threshold filters</t>
        </is>
      </c>
      <c r="R41" s="52" t="inlineStr">
        <is>
          <t>High</t>
        </is>
      </c>
      <c r="S41" s="48" t="inlineStr">
        <is>
          <t>Orbit KPI Tool with predefined metric logic; Mesh may explain results but must not calculate metrics freely</t>
        </is>
      </c>
      <c r="T41" s="48" t="inlineStr">
        <is>
          <t>Not Applicable – Non-Direct Support</t>
        </is>
      </c>
      <c r="U41" s="48" t="n"/>
      <c r="V41" s="48" t="inlineStr">
        <is>
          <t>Null/zero estimate handling.</t>
        </is>
      </c>
    </row>
    <row r="42" ht="72" customHeight="1" s="38">
      <c r="A42" s="47" t="inlineStr">
        <is>
          <t>Existing – Retained</t>
        </is>
      </c>
      <c r="B42" s="48" t="n">
        <v>49</v>
      </c>
      <c r="C42" s="48" t="inlineStr">
        <is>
          <t>PM / Team Lead / Employee</t>
        </is>
      </c>
      <c r="D42" s="48" t="inlineStr">
        <is>
          <t>Low</t>
        </is>
      </c>
      <c r="E42" s="48" t="inlineStr">
        <is>
          <t>Tasks</t>
        </is>
      </c>
      <c r="F42" s="48" t="inlineStr">
        <is>
          <t>Simple Lookup / Filter</t>
        </is>
      </c>
      <c r="G42" s="47" t="inlineStr">
        <is>
          <t>Simple</t>
        </is>
      </c>
      <c r="H42" s="48" t="inlineStr">
        <is>
          <t>recently_updated_tasks</t>
        </is>
      </c>
      <c r="I42" s="48" t="inlineStr">
        <is>
          <t>Which tasks were updated in the last :days days?</t>
        </is>
      </c>
      <c r="J42" s="48" t="inlineStr">
        <is>
          <t>Show recently changed tasks.</t>
        </is>
      </c>
      <c r="K42" s="48" t="inlineStr">
        <is>
          <t>List tasks updated recently.</t>
        </is>
      </c>
      <c r="L42" s="48" t="inlineStr">
        <is>
          <t>days</t>
        </is>
      </c>
      <c r="M42" s="48" t="inlineStr">
        <is>
          <t>Fast operational lookup and drill-down.</t>
        </is>
      </c>
      <c r="N42" s="48" t="inlineStr">
        <is>
          <t>Direct lookup/filter; no derived KPI.</t>
        </is>
      </c>
      <c r="O42" s="48" t="inlineStr">
        <is>
          <t>tbl_project_tasks.update_date</t>
        </is>
      </c>
      <c r="P42" s="48" t="inlineStr">
        <is>
          <t>Data Available</t>
        </is>
      </c>
      <c r="Q42" s="48" t="inlineStr">
        <is>
          <t>Parameterized lookup/filter</t>
        </is>
      </c>
      <c r="R42" s="47" t="inlineStr">
        <is>
          <t>Low</t>
        </is>
      </c>
      <c r="S42" s="48" t="inlineStr">
        <is>
          <t>FAQ Tool Call Binding + parameterized SQL; cache intent/SQL, not live response</t>
        </is>
      </c>
      <c r="T42" s="48" t="inlineStr">
        <is>
          <t>Mapped – Direct Schema</t>
        </is>
      </c>
      <c r="U42" s="48" t="inlineStr">
        <is>
          <t>SELECT t.task_id, t.reference_no, t.title, p.title AS project_title, t.update_date, ts.status_name, t.percent_complete FROM tbl_project_tasks t JOIN tbl_projects p ON p.project_id = t.project_id LEFT JOIN tbl_project_task_status ts ON ts.task_status_id = t.task_status_id WHERE t.update_date &gt;= DATE_SUB(NOW(), INTERVAL :days DAY) AND t.status = 1 AND t.archive = 0 ORDER BY t.update_date DESC;</t>
        </is>
      </c>
      <c r="V42" s="48" t="inlineStr">
        <is>
          <t>Visibility scope required.</t>
        </is>
      </c>
    </row>
    <row r="43" ht="72" customHeight="1" s="38">
      <c r="A43" s="47" t="inlineStr">
        <is>
          <t>Existing – Retained</t>
        </is>
      </c>
      <c r="B43" s="48" t="n">
        <v>50</v>
      </c>
      <c r="C43" s="48" t="inlineStr">
        <is>
          <t>PM / Team Lead / Employee</t>
        </is>
      </c>
      <c r="D43" s="48" t="inlineStr">
        <is>
          <t>Medium</t>
        </is>
      </c>
      <c r="E43" s="48" t="inlineStr">
        <is>
          <t>Tasks</t>
        </is>
      </c>
      <c r="F43" s="48" t="inlineStr">
        <is>
          <t>Exception / Diagnostic</t>
        </is>
      </c>
      <c r="G43" s="51" t="inlineStr">
        <is>
          <t>Complex</t>
        </is>
      </c>
      <c r="H43" s="48" t="inlineStr">
        <is>
          <t>stale_open_tasks</t>
        </is>
      </c>
      <c r="I43" s="48" t="inlineStr">
        <is>
          <t>Which open tasks have not been updated in :days days?</t>
        </is>
      </c>
      <c r="J43" s="48" t="inlineStr">
        <is>
          <t>Show stale pending tasks.</t>
        </is>
      </c>
      <c r="K43" s="48" t="inlineStr">
        <is>
          <t>List inactive open tasks.</t>
        </is>
      </c>
      <c r="L43" s="48" t="inlineStr">
        <is>
          <t>days</t>
        </is>
      </c>
      <c r="M43" s="48" t="inlineStr">
        <is>
          <t>Identify exceptions requiring owner action.</t>
        </is>
      </c>
      <c r="N43" s="48" t="inlineStr">
        <is>
          <t>Define open statuses.</t>
        </is>
      </c>
      <c r="O43" s="48" t="inlineStr">
        <is>
          <t>tasks; task status</t>
        </is>
      </c>
      <c r="P43" s="48" t="inlineStr">
        <is>
          <t>N/A</t>
        </is>
      </c>
      <c r="Q43" s="48" t="inlineStr">
        <is>
          <t>Exception query with joins and threshold filters</t>
        </is>
      </c>
      <c r="R43" s="52" t="inlineStr">
        <is>
          <t>High</t>
        </is>
      </c>
      <c r="S43" s="48" t="inlineStr">
        <is>
          <t>Orbit KPI Tool with predefined metric logic; Mesh may explain results but must not calculate metrics freely</t>
        </is>
      </c>
      <c r="T43" s="48" t="inlineStr">
        <is>
          <t>Not Applicable – Non-Direct Support</t>
        </is>
      </c>
      <c r="U43" s="48" t="n"/>
      <c r="V43" s="48" t="inlineStr">
        <is>
          <t>Define open statuses.</t>
        </is>
      </c>
    </row>
    <row r="44" ht="72" customHeight="1" s="38">
      <c r="A44" s="47" t="inlineStr">
        <is>
          <t>Existing – Retained</t>
        </is>
      </c>
      <c r="B44" s="48" t="n">
        <v>51</v>
      </c>
      <c r="C44" s="48" t="inlineStr">
        <is>
          <t>PM / Team Lead / Employee</t>
        </is>
      </c>
      <c r="D44" s="51" t="inlineStr">
        <is>
          <t>High</t>
        </is>
      </c>
      <c r="E44" s="48" t="inlineStr">
        <is>
          <t>Tasks</t>
        </is>
      </c>
      <c r="F44" s="48" t="inlineStr">
        <is>
          <t>Aggregation / Dashboard KPI</t>
        </is>
      </c>
      <c r="G44" s="49" t="inlineStr">
        <is>
          <t>Moderate</t>
        </is>
      </c>
      <c r="H44" s="48" t="inlineStr">
        <is>
          <t>task_status_counts</t>
        </is>
      </c>
      <c r="I44" s="48" t="inlineStr">
        <is>
          <t>Show task counts by status for :project_name.</t>
        </is>
      </c>
      <c r="J44" s="48" t="inlineStr">
        <is>
          <t>Summarize tasks by workflow status for :project_name.</t>
        </is>
      </c>
      <c r="K44" s="48" t="inlineStr">
        <is>
          <t>How many tasks are in each status for :project_name?</t>
        </is>
      </c>
      <c r="L44" s="48" t="inlineStr">
        <is>
          <t>project_name</t>
        </is>
      </c>
      <c r="M44" s="48" t="inlineStr">
        <is>
          <t>Provide a reusable dashboard metric for monitoring.</t>
        </is>
      </c>
      <c r="N44" s="48" t="inlineStr">
        <is>
          <t>Lookup data required.</t>
        </is>
      </c>
      <c r="O44" s="48" t="inlineStr">
        <is>
          <t>tasks; task status</t>
        </is>
      </c>
      <c r="P44" s="48" t="inlineStr">
        <is>
          <t>Data Available</t>
        </is>
      </c>
      <c r="Q44" s="48" t="inlineStr">
        <is>
          <t>Predefined aggregation / grouped KPI query</t>
        </is>
      </c>
      <c r="R44" s="50" t="inlineStr">
        <is>
          <t>Medium</t>
        </is>
      </c>
      <c r="S44" s="48" t="inlineStr">
        <is>
          <t>FAQ/NL2SQL cached template or Orbit aggregation tool; execute on live data</t>
        </is>
      </c>
      <c r="T44" s="48" t="inlineStr">
        <is>
          <t>Mapped – Direct Schema</t>
        </is>
      </c>
      <c r="U44" s="48" t="inlineStr">
        <is>
          <t>SELECT ts.task_status_id, ts.status_name, ts.status_type, COUNT(*) AS task_count FROM tbl_project_tasks t JOIN tbl_projects p ON p.project_id = t.project_id LEFT JOIN tbl_project_task_status ts ON ts.task_status_id = t.task_status_id WHERE p.title = :project_name AND t.status = 1 AND t.archive = 0 GROUP BY ts.task_status_id, ts.status_name, ts.status_type ORDER BY ts.status_order, ts.status_name;</t>
        </is>
      </c>
      <c r="V44" s="48" t="inlineStr">
        <is>
          <t>Lookup data required.</t>
        </is>
      </c>
    </row>
    <row r="45" ht="72" customHeight="1" s="38">
      <c r="A45" s="47" t="inlineStr">
        <is>
          <t>Existing – Retained</t>
        </is>
      </c>
      <c r="B45" s="48" t="n">
        <v>52</v>
      </c>
      <c r="C45" s="48" t="inlineStr">
        <is>
          <t>PM / Team Lead / Employee</t>
        </is>
      </c>
      <c r="D45" s="51" t="inlineStr">
        <is>
          <t>High</t>
        </is>
      </c>
      <c r="E45" s="48" t="inlineStr">
        <is>
          <t>Tasks</t>
        </is>
      </c>
      <c r="F45" s="48" t="inlineStr">
        <is>
          <t>Aggregation / Dashboard KPI</t>
        </is>
      </c>
      <c r="G45" s="51" t="inlineStr">
        <is>
          <t>Complex</t>
        </is>
      </c>
      <c r="H45" s="48" t="inlineStr">
        <is>
          <t>task_workload_by_user</t>
        </is>
      </c>
      <c r="I45" s="48" t="inlineStr">
        <is>
          <t>Show task workload by user for :project_name.</t>
        </is>
      </c>
      <c r="J45" s="48" t="inlineStr">
        <is>
          <t>How many tasks does each person have on :project_name?</t>
        </is>
      </c>
      <c r="K45" s="48" t="inlineStr">
        <is>
          <t>Summarize assigned tasks by team member.</t>
        </is>
      </c>
      <c r="L45" s="48" t="inlineStr">
        <is>
          <t>project_name</t>
        </is>
      </c>
      <c r="M45" s="48" t="inlineStr">
        <is>
          <t>Provide a reusable dashboard metric for monitoring.</t>
        </is>
      </c>
      <c r="N45" s="48" t="inlineStr">
        <is>
          <t>Define whether workload means count, estimate, or allocation percentage.</t>
        </is>
      </c>
      <c r="O45" s="48" t="inlineStr">
        <is>
          <t>tasks; task users; users</t>
        </is>
      </c>
      <c r="P45" s="48" t="inlineStr">
        <is>
          <t>N/A</t>
        </is>
      </c>
      <c r="Q45" s="48" t="inlineStr">
        <is>
          <t>Predefined aggregation / grouped KPI query</t>
        </is>
      </c>
      <c r="R45" s="52" t="inlineStr">
        <is>
          <t>High</t>
        </is>
      </c>
      <c r="S45" s="48" t="inlineStr">
        <is>
          <t>Orbit KPI Tool with predefined metric logic; Mesh may explain results but must not calculate metrics freely</t>
        </is>
      </c>
      <c r="T45" s="48" t="inlineStr">
        <is>
          <t>Not Applicable – Non-Direct Support</t>
        </is>
      </c>
      <c r="U45" s="48" t="n"/>
      <c r="V45" s="48" t="inlineStr">
        <is>
          <t>Define whether workload means count, estimate, or allocation percentage.</t>
        </is>
      </c>
    </row>
    <row r="46" ht="72" customHeight="1" s="38">
      <c r="A46" s="47" t="inlineStr">
        <is>
          <t>Existing – Retained</t>
        </is>
      </c>
      <c r="B46" s="48" t="n">
        <v>53</v>
      </c>
      <c r="C46" s="48" t="inlineStr">
        <is>
          <t>Delivery Head / Resource Manager / PM</t>
        </is>
      </c>
      <c r="D46" s="51" t="inlineStr">
        <is>
          <t>High</t>
        </is>
      </c>
      <c r="E46" s="48" t="inlineStr">
        <is>
          <t>Timesheets</t>
        </is>
      </c>
      <c r="F46" s="48" t="inlineStr">
        <is>
          <t>Aggregation / Dashboard KPI</t>
        </is>
      </c>
      <c r="G46" s="49" t="inlineStr">
        <is>
          <t>Moderate</t>
        </is>
      </c>
      <c r="H46" s="48" t="inlineStr">
        <is>
          <t>my_logged_hours_today</t>
        </is>
      </c>
      <c r="I46" s="48" t="inlineStr">
        <is>
          <t>How many hours did I log today?</t>
        </is>
      </c>
      <c r="J46" s="48" t="inlineStr">
        <is>
          <t>Show my time entries for today.</t>
        </is>
      </c>
      <c r="K46" s="48" t="inlineStr">
        <is>
          <t>What is my total logged time today?</t>
        </is>
      </c>
      <c r="L46" s="48" t="inlineStr">
        <is>
          <t>current_user, current_date</t>
        </is>
      </c>
      <c r="M46" s="48" t="inlineStr">
        <is>
          <t>Provide a reusable dashboard metric for monitoring.</t>
        </is>
      </c>
      <c r="N46" s="48" t="inlineStr">
        <is>
          <t>Combine hours and minutes.</t>
        </is>
      </c>
      <c r="O46" s="48" t="inlineStr">
        <is>
          <t>tbl_timesheets</t>
        </is>
      </c>
      <c r="P46" s="48" t="inlineStr">
        <is>
          <t>Data Available</t>
        </is>
      </c>
      <c r="Q46" s="48" t="inlineStr">
        <is>
          <t>Predefined aggregation / grouped KPI query</t>
        </is>
      </c>
      <c r="R46" s="50" t="inlineStr">
        <is>
          <t>Medium</t>
        </is>
      </c>
      <c r="S46" s="48" t="inlineStr">
        <is>
          <t>FAQ/NL2SQL cached template or Orbit aggregation tool; execute on live data</t>
        </is>
      </c>
      <c r="T46" s="48" t="inlineStr">
        <is>
          <t>Mapped – Direct Schema</t>
        </is>
      </c>
      <c r="U46" s="48" t="inlineStr">
        <is>
          <t>SELECT ts.user_id, ts.timesheet_date, SUM(ts.hours * 60 + ts.minutes) / 60.0 AS total_hours FROM tbl_timesheets ts WHERE ts.user_id = :current_user_id AND ts.timesheet_date = CURRENT_DATE GROUP BY ts.user_id, ts.timesheet_date;</t>
        </is>
      </c>
      <c r="V46" s="48" t="inlineStr">
        <is>
          <t>Combine hours and minutes.</t>
        </is>
      </c>
    </row>
    <row r="47" ht="72" customHeight="1" s="38">
      <c r="A47" s="47" t="inlineStr">
        <is>
          <t>Existing – Retained</t>
        </is>
      </c>
      <c r="B47" s="48" t="n">
        <v>54</v>
      </c>
      <c r="C47" s="48" t="inlineStr">
        <is>
          <t>Delivery Head / Resource Manager / PM</t>
        </is>
      </c>
      <c r="D47" s="51" t="inlineStr">
        <is>
          <t>High</t>
        </is>
      </c>
      <c r="E47" s="48" t="inlineStr">
        <is>
          <t>Timesheets</t>
        </is>
      </c>
      <c r="F47" s="48" t="inlineStr">
        <is>
          <t>Aggregation / Dashboard KPI</t>
        </is>
      </c>
      <c r="G47" s="49" t="inlineStr">
        <is>
          <t>Moderate</t>
        </is>
      </c>
      <c r="H47" s="48" t="inlineStr">
        <is>
          <t>my_logged_hours_period</t>
        </is>
      </c>
      <c r="I47" s="48" t="inlineStr">
        <is>
          <t>How many hours did I log between :start_date and :end_date?</t>
        </is>
      </c>
      <c r="J47" s="48" t="inlineStr">
        <is>
          <t>Show my logged time for the selected period.</t>
        </is>
      </c>
      <c r="K47" s="48" t="inlineStr">
        <is>
          <t>Total my timesheet hours for the period.</t>
        </is>
      </c>
      <c r="L47" s="48" t="inlineStr">
        <is>
          <t>current_user, start_date, end_date</t>
        </is>
      </c>
      <c r="M47" s="48" t="inlineStr">
        <is>
          <t>Provide a reusable dashboard metric for monitoring.</t>
        </is>
      </c>
      <c r="N47" s="48" t="inlineStr">
        <is>
          <t>Combine hours and minutes.</t>
        </is>
      </c>
      <c r="O47" s="48" t="inlineStr">
        <is>
          <t>tbl_timesheets</t>
        </is>
      </c>
      <c r="P47" s="48" t="inlineStr">
        <is>
          <t>Data Available</t>
        </is>
      </c>
      <c r="Q47" s="48" t="inlineStr">
        <is>
          <t>Predefined aggregation / grouped KPI query</t>
        </is>
      </c>
      <c r="R47" s="50" t="inlineStr">
        <is>
          <t>Medium</t>
        </is>
      </c>
      <c r="S47" s="48" t="inlineStr">
        <is>
          <t>FAQ/NL2SQL cached template or Orbit aggregation tool; execute on live data</t>
        </is>
      </c>
      <c r="T47" s="48" t="inlineStr">
        <is>
          <t>Mapped – Direct Schema</t>
        </is>
      </c>
      <c r="U47" s="48" t="inlineStr">
        <is>
          <t>SELECT ts.user_id, SUM(ts.hours * 60 + ts.minutes) / 60.0 AS total_hours FROM tbl_timesheets ts WHERE ts.user_id = :current_user_id AND ts.timesheet_date BETWEEN :start_date AND :end_date GROUP BY ts.user_id;</t>
        </is>
      </c>
      <c r="V47" s="48" t="inlineStr">
        <is>
          <t>Combine hours and minutes.</t>
        </is>
      </c>
    </row>
    <row r="48" ht="72" customHeight="1" s="38">
      <c r="A48" s="47" t="inlineStr">
        <is>
          <t>Existing – Retained</t>
        </is>
      </c>
      <c r="B48" s="48" t="n">
        <v>55</v>
      </c>
      <c r="C48" s="48" t="inlineStr">
        <is>
          <t>Delivery Head / Resource Manager / PM</t>
        </is>
      </c>
      <c r="D48" s="48" t="inlineStr">
        <is>
          <t>Low</t>
        </is>
      </c>
      <c r="E48" s="48" t="inlineStr">
        <is>
          <t>Timesheets</t>
        </is>
      </c>
      <c r="F48" s="48" t="inlineStr">
        <is>
          <t>Simple Lookup / Filter</t>
        </is>
      </c>
      <c r="G48" s="47" t="inlineStr">
        <is>
          <t>Simple</t>
        </is>
      </c>
      <c r="H48" s="48" t="inlineStr">
        <is>
          <t>employee_logged_hours</t>
        </is>
      </c>
      <c r="I48" s="48" t="inlineStr">
        <is>
          <t>Show hours logged by :employee_name between :start_date and :end_date.</t>
        </is>
      </c>
      <c r="J48" s="48" t="inlineStr">
        <is>
          <t>How much time did :employee_name record?</t>
        </is>
      </c>
      <c r="K48" s="48" t="inlineStr">
        <is>
          <t>List :employee_name’s timesheet total.</t>
        </is>
      </c>
      <c r="L48" s="48" t="inlineStr">
        <is>
          <t>employee_name, start_date, end_date</t>
        </is>
      </c>
      <c r="M48" s="48" t="inlineStr">
        <is>
          <t>Fast operational lookup and drill-down.</t>
        </is>
      </c>
      <c r="N48" s="48" t="inlineStr">
        <is>
          <t>Direct lookup/filter; no derived KPI.</t>
        </is>
      </c>
      <c r="O48" s="48" t="inlineStr">
        <is>
          <t>tbl_timesheets; tbl_users</t>
        </is>
      </c>
      <c r="P48" s="48" t="inlineStr">
        <is>
          <t>Data Available</t>
        </is>
      </c>
      <c r="Q48" s="48" t="inlineStr">
        <is>
          <t>Parameterized lookup/filter</t>
        </is>
      </c>
      <c r="R48" s="47" t="inlineStr">
        <is>
          <t>Low</t>
        </is>
      </c>
      <c r="S48" s="48" t="inlineStr">
        <is>
          <t>FAQ Tool Call Binding + parameterized SQL; cache intent/SQL, not live response</t>
        </is>
      </c>
      <c r="T48" s="48" t="inlineStr">
        <is>
          <t>Mapped – Direct Schema</t>
        </is>
      </c>
      <c r="U48" s="48" t="inlineStr">
        <is>
          <t>SELECT u.user_id, CONCAT_WS(' ', u.first_name, u.last_name) AS employee_name, SUM(ts.hours * 60 + ts.minutes) / 60.0 AS total_hours FROM tbl_users u JOIN tbl_timesheets ts ON ts.user_id = u.user_id WHERE CONCAT_WS(' ', u.first_name, u.last_name) = :employee_name AND ts.timesheet_date BETWEEN :start_date AND :end_date GROUP BY u.user_id, u.first_name, u.last_name;</t>
        </is>
      </c>
      <c r="V48" s="48" t="inlineStr">
        <is>
          <t>RBAC needed for manager access.</t>
        </is>
      </c>
    </row>
    <row r="49" ht="72" customHeight="1" s="38">
      <c r="A49" s="47" t="inlineStr">
        <is>
          <t>Existing – Retained</t>
        </is>
      </c>
      <c r="B49" s="48" t="n">
        <v>56</v>
      </c>
      <c r="C49" s="48" t="inlineStr">
        <is>
          <t>Delivery Head / Resource Manager / PM</t>
        </is>
      </c>
      <c r="D49" s="51" t="inlineStr">
        <is>
          <t>High</t>
        </is>
      </c>
      <c r="E49" s="48" t="inlineStr">
        <is>
          <t>Timesheets</t>
        </is>
      </c>
      <c r="F49" s="48" t="inlineStr">
        <is>
          <t>Aggregation / Dashboard KPI</t>
        </is>
      </c>
      <c r="G49" s="49" t="inlineStr">
        <is>
          <t>Moderate</t>
        </is>
      </c>
      <c r="H49" s="48" t="inlineStr">
        <is>
          <t>project_logged_hours</t>
        </is>
      </c>
      <c r="I49" s="48" t="inlineStr">
        <is>
          <t>How many hours were logged on :project_name between :start_date and :end_date?</t>
        </is>
      </c>
      <c r="J49" s="48" t="inlineStr">
        <is>
          <t>Show total project time for the period.</t>
        </is>
      </c>
      <c r="K49" s="48" t="inlineStr">
        <is>
          <t>What is the booked effort on :project_name?</t>
        </is>
      </c>
      <c r="L49" s="48" t="inlineStr">
        <is>
          <t>project_name, start_date, end_date</t>
        </is>
      </c>
      <c r="M49" s="48" t="inlineStr">
        <is>
          <t>Provide a reusable dashboard metric for monitoring.</t>
        </is>
      </c>
      <c r="N49" s="48" t="inlineStr">
        <is>
          <t>Timesheet links to project through task.</t>
        </is>
      </c>
      <c r="O49" s="48" t="inlineStr">
        <is>
          <t>tbl_timesheets; tasks; projects</t>
        </is>
      </c>
      <c r="P49" s="48" t="inlineStr">
        <is>
          <t>Data Available</t>
        </is>
      </c>
      <c r="Q49" s="48" t="inlineStr">
        <is>
          <t>Predefined aggregation / grouped KPI query</t>
        </is>
      </c>
      <c r="R49" s="50" t="inlineStr">
        <is>
          <t>Medium</t>
        </is>
      </c>
      <c r="S49" s="48" t="inlineStr">
        <is>
          <t>FAQ/NL2SQL cached template or Orbit aggregation tool; execute on live data</t>
        </is>
      </c>
      <c r="T49" s="48" t="inlineStr">
        <is>
          <t>Mapped – Direct Schema</t>
        </is>
      </c>
      <c r="U49" s="48" t="inlineStr">
        <is>
          <t>SELECT p.project_id, p.title AS project_title, SUM(ts.hours * 60 + ts.minutes) / 60.0 AS total_hours FROM tbl_timesheets ts JOIN tbl_project_tasks t ON t.task_id = ts.task_id JOIN tbl_projects p ON p.project_id = t.project_id WHERE p.title = :project_name AND ts.timesheet_date BETWEEN :start_date AND :end_date GROUP BY p.project_id, p.title;</t>
        </is>
      </c>
      <c r="V49" s="48" t="inlineStr">
        <is>
          <t>Timesheet links to project through task.</t>
        </is>
      </c>
    </row>
    <row r="50" ht="72" customHeight="1" s="38">
      <c r="A50" s="47" t="inlineStr">
        <is>
          <t>Existing – Retained</t>
        </is>
      </c>
      <c r="B50" s="48" t="n">
        <v>57</v>
      </c>
      <c r="C50" s="48" t="inlineStr">
        <is>
          <t>Delivery Head / Resource Manager / PM</t>
        </is>
      </c>
      <c r="D50" s="48" t="inlineStr">
        <is>
          <t>Low</t>
        </is>
      </c>
      <c r="E50" s="48" t="inlineStr">
        <is>
          <t>Timesheets</t>
        </is>
      </c>
      <c r="F50" s="48" t="inlineStr">
        <is>
          <t>Simple Lookup / Filter</t>
        </is>
      </c>
      <c r="G50" s="47" t="inlineStr">
        <is>
          <t>Simple</t>
        </is>
      </c>
      <c r="H50" s="48" t="inlineStr">
        <is>
          <t>project_hours_by_user</t>
        </is>
      </c>
      <c r="I50" s="48" t="inlineStr">
        <is>
          <t>Show hours by user for :project_name.</t>
        </is>
      </c>
      <c r="J50" s="48" t="inlineStr">
        <is>
          <t>Who logged how much time on :project_name?</t>
        </is>
      </c>
      <c r="K50" s="48" t="inlineStr">
        <is>
          <t>Break down project hours by team member.</t>
        </is>
      </c>
      <c r="L50" s="48" t="inlineStr">
        <is>
          <t>project_name, start_date, end_date</t>
        </is>
      </c>
      <c r="M50" s="48" t="inlineStr">
        <is>
          <t>Fast operational lookup and drill-down.</t>
        </is>
      </c>
      <c r="N50" s="48" t="inlineStr">
        <is>
          <t>Direct lookup/filter; no derived KPI.</t>
        </is>
      </c>
      <c r="O50" s="48" t="inlineStr">
        <is>
          <t>timesheets; tasks; users</t>
        </is>
      </c>
      <c r="P50" s="48" t="inlineStr">
        <is>
          <t>Data Available</t>
        </is>
      </c>
      <c r="Q50" s="48" t="inlineStr">
        <is>
          <t>Parameterized lookup/filter</t>
        </is>
      </c>
      <c r="R50" s="47" t="inlineStr">
        <is>
          <t>Low</t>
        </is>
      </c>
      <c r="S50" s="48" t="inlineStr">
        <is>
          <t>FAQ Tool Call Binding + parameterized SQL; cache intent/SQL, not live response</t>
        </is>
      </c>
      <c r="T50" s="48" t="inlineStr">
        <is>
          <t>Mapped – Direct Schema</t>
        </is>
      </c>
      <c r="U50" s="48" t="inlineStr">
        <is>
          <t>SELECT u.user_id, CONCAT_WS(' ', u.first_name, u.last_name) AS employee_name, SUM(ts.hours * 60 + ts.minutes) / 60.0 AS total_hours FROM tbl_timesheets ts JOIN tbl_project_tasks t ON t.task_id = ts.task_id JOIN tbl_projects p ON p.project_id = t.project_id JOIN tbl_users u ON u.user_id = ts.user_id WHERE p.title = :project_name AND ts.timesheet_date BETWEEN :start_date AND :end_date GROUP BY u.user_id, u.first_name, u.last_name ORDER BY total_hours DESC;</t>
        </is>
      </c>
      <c r="V50" s="48" t="inlineStr">
        <is>
          <t>Date period should be mandatory or defaulted.</t>
        </is>
      </c>
    </row>
    <row r="51" ht="72" customHeight="1" s="38">
      <c r="A51" s="47" t="inlineStr">
        <is>
          <t>Existing – Retained</t>
        </is>
      </c>
      <c r="B51" s="48" t="n">
        <v>58</v>
      </c>
      <c r="C51" s="48" t="inlineStr">
        <is>
          <t>Delivery Head / Resource Manager / PM</t>
        </is>
      </c>
      <c r="D51" s="51" t="inlineStr">
        <is>
          <t>High</t>
        </is>
      </c>
      <c r="E51" s="48" t="inlineStr">
        <is>
          <t>Timesheets</t>
        </is>
      </c>
      <c r="F51" s="48" t="inlineStr">
        <is>
          <t>Aggregation / Dashboard KPI</t>
        </is>
      </c>
      <c r="G51" s="49" t="inlineStr">
        <is>
          <t>Moderate</t>
        </is>
      </c>
      <c r="H51" s="48" t="inlineStr">
        <is>
          <t>hours_by_task</t>
        </is>
      </c>
      <c r="I51" s="48" t="inlineStr">
        <is>
          <t>How many hours were logged against task :task_reference?</t>
        </is>
      </c>
      <c r="J51" s="48" t="inlineStr">
        <is>
          <t>Show booked time for :task_reference.</t>
        </is>
      </c>
      <c r="K51" s="48" t="inlineStr">
        <is>
          <t>What is the total effort recorded on :task_reference?</t>
        </is>
      </c>
      <c r="L51" s="48" t="inlineStr">
        <is>
          <t>task_reference, start_date, end_date</t>
        </is>
      </c>
      <c r="M51" s="48" t="inlineStr">
        <is>
          <t>Provide a reusable dashboard metric for monitoring.</t>
        </is>
      </c>
      <c r="N51" s="48" t="inlineStr">
        <is>
          <t>Combine hours and minutes.</t>
        </is>
      </c>
      <c r="O51" s="48" t="inlineStr">
        <is>
          <t>tbl_timesheets; tasks</t>
        </is>
      </c>
      <c r="P51" s="48" t="inlineStr">
        <is>
          <t>Data Available</t>
        </is>
      </c>
      <c r="Q51" s="48" t="inlineStr">
        <is>
          <t>Predefined aggregation / grouped KPI query</t>
        </is>
      </c>
      <c r="R51" s="50" t="inlineStr">
        <is>
          <t>Medium</t>
        </is>
      </c>
      <c r="S51" s="48" t="inlineStr">
        <is>
          <t>FAQ/NL2SQL cached template or Orbit aggregation tool; execute on live data</t>
        </is>
      </c>
      <c r="T51" s="48" t="inlineStr">
        <is>
          <t>Mapped – Direct Schema</t>
        </is>
      </c>
      <c r="U51" s="48" t="inlineStr">
        <is>
          <t>SELECT t.task_id, t.reference_no, t.title, SUM(ts.hours * 60 + ts.minutes) / 60.0 AS total_hours FROM tbl_project_tasks t LEFT JOIN tbl_timesheets ts ON ts.task_id = t.task_id WHERE t.reference_no = :task_reference GROUP BY t.task_id, t.reference_no, t.title;</t>
        </is>
      </c>
      <c r="V51" s="48" t="inlineStr">
        <is>
          <t>Combine hours and minutes.</t>
        </is>
      </c>
    </row>
    <row r="52" ht="72" customHeight="1" s="38">
      <c r="A52" s="47" t="inlineStr">
        <is>
          <t>Existing – Retained</t>
        </is>
      </c>
      <c r="B52" s="48" t="n">
        <v>59</v>
      </c>
      <c r="C52" s="48" t="inlineStr">
        <is>
          <t>Delivery Head / Resource Manager / PM</t>
        </is>
      </c>
      <c r="D52" s="48" t="inlineStr">
        <is>
          <t>Medium</t>
        </is>
      </c>
      <c r="E52" s="48" t="inlineStr">
        <is>
          <t>Timesheets</t>
        </is>
      </c>
      <c r="F52" s="48" t="inlineStr">
        <is>
          <t>Derived Analysis</t>
        </is>
      </c>
      <c r="G52" s="52" t="inlineStr">
        <is>
          <t>Very Complex</t>
        </is>
      </c>
      <c r="H52" s="48" t="inlineStr">
        <is>
          <t>timesheet_entries_by_task_type</t>
        </is>
      </c>
      <c r="I52" s="48" t="inlineStr">
        <is>
          <t>Show logged hours by project task type.</t>
        </is>
      </c>
      <c r="J52" s="48" t="inlineStr">
        <is>
          <t>Break down timesheet hours by task type.</t>
        </is>
      </c>
      <c r="K52" s="48" t="inlineStr">
        <is>
          <t>How much time was recorded for each task type?</t>
        </is>
      </c>
      <c r="L52" s="48" t="inlineStr">
        <is>
          <t>start_date, end_date</t>
        </is>
      </c>
      <c r="M52" s="48" t="inlineStr">
        <is>
          <t>Support governed management analysis.</t>
        </is>
      </c>
      <c r="N52" s="48" t="inlineStr">
        <is>
          <t>Task-type reference table must be confirmed.</t>
        </is>
      </c>
      <c r="O52" s="48" t="inlineStr">
        <is>
          <t>tbl_timesheets.project_task_type_id</t>
        </is>
      </c>
      <c r="P52" s="48" t="inlineStr">
        <is>
          <t>N/A</t>
        </is>
      </c>
      <c r="Q52" s="48" t="inlineStr">
        <is>
          <t>Governed multi-table query</t>
        </is>
      </c>
      <c r="R52" s="52" t="inlineStr">
        <is>
          <t>High</t>
        </is>
      </c>
      <c r="S52" s="48" t="inlineStr">
        <is>
          <t>Orbit KPI Tool with predefined metric logic; Mesh may explain results but must not calculate metrics freely</t>
        </is>
      </c>
      <c r="T52" s="48" t="inlineStr">
        <is>
          <t>Not Applicable – Non-Direct Support</t>
        </is>
      </c>
      <c r="U52" s="48" t="n"/>
      <c r="V52" s="48" t="inlineStr">
        <is>
          <t>Task-type reference table must be confirmed.</t>
        </is>
      </c>
    </row>
    <row r="53" ht="72" customHeight="1" s="38">
      <c r="A53" s="47" t="inlineStr">
        <is>
          <t>Existing – Retained</t>
        </is>
      </c>
      <c r="B53" s="48" t="n">
        <v>60</v>
      </c>
      <c r="C53" s="48" t="inlineStr">
        <is>
          <t>Delivery Head / Resource Manager / PM</t>
        </is>
      </c>
      <c r="D53" s="48" t="inlineStr">
        <is>
          <t>Medium</t>
        </is>
      </c>
      <c r="E53" s="48" t="inlineStr">
        <is>
          <t>Timesheets</t>
        </is>
      </c>
      <c r="F53" s="48" t="inlineStr">
        <is>
          <t>Exception / Diagnostic</t>
        </is>
      </c>
      <c r="G53" s="51" t="inlineStr">
        <is>
          <t>Complex</t>
        </is>
      </c>
      <c r="H53" s="48" t="inlineStr">
        <is>
          <t>users_without_time_entries</t>
        </is>
      </c>
      <c r="I53" s="48" t="inlineStr">
        <is>
          <t>Who has no timesheet entries for :date?</t>
        </is>
      </c>
      <c r="J53" s="48" t="inlineStr">
        <is>
          <t>Show users who did not log time on :date.</t>
        </is>
      </c>
      <c r="K53" s="48" t="inlineStr">
        <is>
          <t>List missing time entries for :date.</t>
        </is>
      </c>
      <c r="L53" s="48" t="inlineStr">
        <is>
          <t>date, population_scope</t>
        </is>
      </c>
      <c r="M53" s="48" t="inlineStr">
        <is>
          <t>Identify exceptions requiring owner action.</t>
        </is>
      </c>
      <c r="N53" s="48" t="inlineStr">
        <is>
          <t>Define expected population, working days, leave, and active users.</t>
        </is>
      </c>
      <c r="O53" s="48" t="inlineStr">
        <is>
          <t>tbl_users; tbl_timesheets</t>
        </is>
      </c>
      <c r="P53" s="48" t="inlineStr">
        <is>
          <t>N/A</t>
        </is>
      </c>
      <c r="Q53" s="48" t="inlineStr">
        <is>
          <t>Exception query with joins and threshold filters</t>
        </is>
      </c>
      <c r="R53" s="52" t="inlineStr">
        <is>
          <t>High</t>
        </is>
      </c>
      <c r="S53" s="48" t="inlineStr">
        <is>
          <t>Orbit KPI Tool with predefined metric logic; Mesh may explain results but must not calculate metrics freely</t>
        </is>
      </c>
      <c r="T53" s="48" t="inlineStr">
        <is>
          <t>Not Applicable – Non-Direct Support</t>
        </is>
      </c>
      <c r="U53" s="48" t="n"/>
      <c r="V53" s="48" t="inlineStr">
        <is>
          <t>Define expected population, working days, leave, and active users.</t>
        </is>
      </c>
    </row>
    <row r="54" ht="72" customHeight="1" s="38">
      <c r="A54" s="47" t="inlineStr">
        <is>
          <t>Existing – Retained</t>
        </is>
      </c>
      <c r="B54" s="48" t="n">
        <v>61</v>
      </c>
      <c r="C54" s="48" t="inlineStr">
        <is>
          <t>Delivery Head / Resource Manager / PM</t>
        </is>
      </c>
      <c r="D54" s="48" t="inlineStr">
        <is>
          <t>Medium</t>
        </is>
      </c>
      <c r="E54" s="48" t="inlineStr">
        <is>
          <t>Timesheets</t>
        </is>
      </c>
      <c r="F54" s="48" t="inlineStr">
        <is>
          <t>Exception / Diagnostic</t>
        </is>
      </c>
      <c r="G54" s="51" t="inlineStr">
        <is>
          <t>Complex</t>
        </is>
      </c>
      <c r="H54" s="48" t="inlineStr">
        <is>
          <t>daily_hours_above_threshold</t>
        </is>
      </c>
      <c r="I54" s="48" t="inlineStr">
        <is>
          <t>Who logged more than :hours_threshold hours on :date?</t>
        </is>
      </c>
      <c r="J54" s="48" t="inlineStr">
        <is>
          <t>Show high-hour timesheet entries.</t>
        </is>
      </c>
      <c r="K54" s="48" t="inlineStr">
        <is>
          <t>List users exceeding the daily-hours threshold.</t>
        </is>
      </c>
      <c r="L54" s="48" t="inlineStr">
        <is>
          <t>date, hours_threshold</t>
        </is>
      </c>
      <c r="M54" s="48" t="inlineStr">
        <is>
          <t>Identify exceptions requiring owner action.</t>
        </is>
      </c>
      <c r="N54" s="48" t="inlineStr">
        <is>
          <t>Threshold supplied at runtime.</t>
        </is>
      </c>
      <c r="O54" s="48" t="inlineStr">
        <is>
          <t>tbl_timesheets; users</t>
        </is>
      </c>
      <c r="P54" s="48" t="inlineStr">
        <is>
          <t>N/A</t>
        </is>
      </c>
      <c r="Q54" s="48" t="inlineStr">
        <is>
          <t>Exception query with joins and threshold filters</t>
        </is>
      </c>
      <c r="R54" s="52" t="inlineStr">
        <is>
          <t>High</t>
        </is>
      </c>
      <c r="S54" s="48" t="inlineStr">
        <is>
          <t>Orbit KPI Tool with predefined metric logic; Mesh may explain results but must not calculate metrics freely</t>
        </is>
      </c>
      <c r="T54" s="48" t="inlineStr">
        <is>
          <t>Not Applicable – Non-Direct Support</t>
        </is>
      </c>
      <c r="U54" s="48" t="n"/>
      <c r="V54" s="48" t="inlineStr">
        <is>
          <t>Threshold supplied at runtime.</t>
        </is>
      </c>
    </row>
    <row r="55" ht="72" customHeight="1" s="38">
      <c r="A55" s="47" t="inlineStr">
        <is>
          <t>Existing – Retained</t>
        </is>
      </c>
      <c r="B55" s="48" t="n">
        <v>62</v>
      </c>
      <c r="C55" s="48" t="inlineStr">
        <is>
          <t>Delivery Head / Resource Manager / PM</t>
        </is>
      </c>
      <c r="D55" s="48" t="inlineStr">
        <is>
          <t>Medium</t>
        </is>
      </c>
      <c r="E55" s="48" t="inlineStr">
        <is>
          <t>Timesheets</t>
        </is>
      </c>
      <c r="F55" s="48" t="inlineStr">
        <is>
          <t>KPI / Comparative</t>
        </is>
      </c>
      <c r="G55" s="51" t="inlineStr">
        <is>
          <t>Complex</t>
        </is>
      </c>
      <c r="H55" s="48" t="inlineStr">
        <is>
          <t>project_hours_vs_task_actual</t>
        </is>
      </c>
      <c r="I55" s="48" t="inlineStr">
        <is>
          <t>Compare timesheet hours with task actual hours for :project_name.</t>
        </is>
      </c>
      <c r="J55" s="48" t="inlineStr">
        <is>
          <t>Show discrepancies between booked time and task actual hours.</t>
        </is>
      </c>
      <c r="K55" s="48" t="inlineStr">
        <is>
          <t>Do task actuals match timesheet totals?</t>
        </is>
      </c>
      <c r="L55" s="48" t="inlineStr">
        <is>
          <t>project_name</t>
        </is>
      </c>
      <c r="M55" s="48" t="inlineStr">
        <is>
          <t>Support prioritisation and performance comparison.</t>
        </is>
      </c>
      <c r="N55" s="48" t="inlineStr">
        <is>
          <t>Clarify whether actual_hours is system-calculated or manually maintained.</t>
        </is>
      </c>
      <c r="O55" s="48" t="inlineStr">
        <is>
          <t>tbl_timesheets; tbl_project_tasks.actual_hours</t>
        </is>
      </c>
      <c r="P55" s="48" t="inlineStr">
        <is>
          <t>N/A</t>
        </is>
      </c>
      <c r="Q55" s="48" t="inlineStr">
        <is>
          <t>Multi-table derived KPI with controlled formula</t>
        </is>
      </c>
      <c r="R55" s="52" t="inlineStr">
        <is>
          <t>High</t>
        </is>
      </c>
      <c r="S55" s="48" t="inlineStr">
        <is>
          <t>Orbit KPI Tool with predefined metric logic; Mesh may explain results but must not calculate metrics freely</t>
        </is>
      </c>
      <c r="T55" s="48" t="inlineStr">
        <is>
          <t>Not Applicable – Non-Direct Support</t>
        </is>
      </c>
      <c r="U55" s="48" t="n"/>
      <c r="V55" s="48" t="inlineStr">
        <is>
          <t>Clarify whether actual_hours is system-calculated or manually maintained.</t>
        </is>
      </c>
    </row>
    <row r="56" ht="72" customHeight="1" s="38">
      <c r="A56" s="47" t="inlineStr">
        <is>
          <t>Existing – Retained</t>
        </is>
      </c>
      <c r="B56" s="48" t="n">
        <v>63</v>
      </c>
      <c r="C56" s="48" t="inlineStr">
        <is>
          <t>Delivery Head / Resource Manager / PM</t>
        </is>
      </c>
      <c r="D56" s="48" t="inlineStr">
        <is>
          <t>Medium</t>
        </is>
      </c>
      <c r="E56" s="48" t="inlineStr">
        <is>
          <t>Timesheets</t>
        </is>
      </c>
      <c r="F56" s="48" t="inlineStr">
        <is>
          <t>Derived Analysis</t>
        </is>
      </c>
      <c r="G56" s="52" t="inlineStr">
        <is>
          <t>Very Complex</t>
        </is>
      </c>
      <c r="H56" s="48" t="inlineStr">
        <is>
          <t>timesheet_approval_status</t>
        </is>
      </c>
      <c r="I56" s="48" t="inlineStr">
        <is>
          <t>What is the approval status of my timesheet?</t>
        </is>
      </c>
      <c r="J56" s="48" t="inlineStr">
        <is>
          <t>Show whether my timesheet is approved.</t>
        </is>
      </c>
      <c r="K56" s="48" t="inlineStr">
        <is>
          <t>Are my time entries pending approval?</t>
        </is>
      </c>
      <c r="L56" s="48" t="inlineStr">
        <is>
          <t>current_user, period</t>
        </is>
      </c>
      <c r="M56" s="48" t="inlineStr">
        <is>
          <t>Support governed management analysis.</t>
        </is>
      </c>
      <c r="N56" s="48" t="inlineStr">
        <is>
          <t>No approval/status field is present in tbl_timesheets.</t>
        </is>
      </c>
      <c r="O56" s="48" t="inlineStr">
        <is>
          <t>tbl_timesheets</t>
        </is>
      </c>
      <c r="P56" s="48" t="inlineStr">
        <is>
          <t>N/A</t>
        </is>
      </c>
      <c r="Q56" s="48" t="inlineStr">
        <is>
          <t>Governed multi-table query</t>
        </is>
      </c>
      <c r="R56" s="52" t="inlineStr">
        <is>
          <t>High</t>
        </is>
      </c>
      <c r="S56" s="48" t="inlineStr">
        <is>
          <t>Orbit KPI Tool with predefined metric logic; Mesh may explain results but must not calculate metrics freely</t>
        </is>
      </c>
      <c r="T56" s="48" t="inlineStr">
        <is>
          <t>Not Applicable – Non-Direct Support</t>
        </is>
      </c>
      <c r="U56" s="48" t="n"/>
      <c r="V56" s="48" t="inlineStr">
        <is>
          <t>No approval/status field is present in tbl_timesheets.</t>
        </is>
      </c>
    </row>
    <row r="57" ht="72" customHeight="1" s="38">
      <c r="A57" s="47" t="inlineStr">
        <is>
          <t>Existing – Retained</t>
        </is>
      </c>
      <c r="B57" s="48" t="n">
        <v>64</v>
      </c>
      <c r="C57" s="48" t="inlineStr">
        <is>
          <t>Delivery Head / Resource Manager / PM</t>
        </is>
      </c>
      <c r="D57" s="48" t="inlineStr">
        <is>
          <t>Medium</t>
        </is>
      </c>
      <c r="E57" s="48" t="inlineStr">
        <is>
          <t>Timesheets</t>
        </is>
      </c>
      <c r="F57" s="48" t="inlineStr">
        <is>
          <t>Derived Analysis</t>
        </is>
      </c>
      <c r="G57" s="52" t="inlineStr">
        <is>
          <t>Very Complex</t>
        </is>
      </c>
      <c r="H57" s="48" t="inlineStr">
        <is>
          <t>rejected_timesheets</t>
        </is>
      </c>
      <c r="I57" s="48" t="inlineStr">
        <is>
          <t>Which timesheets were rejected?</t>
        </is>
      </c>
      <c r="J57" s="48" t="inlineStr">
        <is>
          <t>Show rejected time entries.</t>
        </is>
      </c>
      <c r="K57" s="48" t="inlineStr">
        <is>
          <t>List declined timesheets.</t>
        </is>
      </c>
      <c r="L57" s="48" t="inlineStr">
        <is>
          <t>period</t>
        </is>
      </c>
      <c r="M57" s="48" t="inlineStr">
        <is>
          <t>Support governed management analysis.</t>
        </is>
      </c>
      <c r="N57" s="48" t="inlineStr">
        <is>
          <t>No rejection field or workflow table identified.</t>
        </is>
      </c>
      <c r="O57" s="48" t="inlineStr">
        <is>
          <t>tbl_timesheets</t>
        </is>
      </c>
      <c r="P57" s="48" t="inlineStr">
        <is>
          <t>N/A</t>
        </is>
      </c>
      <c r="Q57" s="48" t="inlineStr">
        <is>
          <t>Governed multi-table query</t>
        </is>
      </c>
      <c r="R57" s="52" t="inlineStr">
        <is>
          <t>High</t>
        </is>
      </c>
      <c r="S57" s="48" t="inlineStr">
        <is>
          <t>Orbit KPI Tool with predefined metric logic; Mesh may explain results but must not calculate metrics freely</t>
        </is>
      </c>
      <c r="T57" s="48" t="inlineStr">
        <is>
          <t>Not Applicable – Non-Direct Support</t>
        </is>
      </c>
      <c r="U57" s="48" t="n"/>
      <c r="V57" s="48" t="inlineStr">
        <is>
          <t>No rejection field or workflow table identified.</t>
        </is>
      </c>
    </row>
    <row r="58" ht="72" customHeight="1" s="38">
      <c r="A58" s="47" t="inlineStr">
        <is>
          <t>Existing – Retained</t>
        </is>
      </c>
      <c r="B58" s="48" t="n">
        <v>65</v>
      </c>
      <c r="C58" s="48" t="inlineStr">
        <is>
          <t>Delivery Head / Resource Manager / PM</t>
        </is>
      </c>
      <c r="D58" s="48" t="inlineStr">
        <is>
          <t>Low</t>
        </is>
      </c>
      <c r="E58" s="48" t="inlineStr">
        <is>
          <t>Resources</t>
        </is>
      </c>
      <c r="F58" s="48" t="inlineStr">
        <is>
          <t>Simple Lookup / Filter</t>
        </is>
      </c>
      <c r="G58" s="47" t="inlineStr">
        <is>
          <t>Simple</t>
        </is>
      </c>
      <c r="H58" s="48" t="inlineStr">
        <is>
          <t>my_project_allocations</t>
        </is>
      </c>
      <c r="I58" s="48" t="inlineStr">
        <is>
          <t>What projects am I allocated to?</t>
        </is>
      </c>
      <c r="J58" s="48" t="inlineStr">
        <is>
          <t>Show my current project allocations.</t>
        </is>
      </c>
      <c r="K58" s="48" t="inlineStr">
        <is>
          <t>List projects where I am a member.</t>
        </is>
      </c>
      <c r="L58" s="48" t="inlineStr">
        <is>
          <t>current_user, as_of_date</t>
        </is>
      </c>
      <c r="M58" s="48" t="inlineStr">
        <is>
          <t>Fast operational lookup and drill-down.</t>
        </is>
      </c>
      <c r="N58" s="48" t="inlineStr">
        <is>
          <t>Direct lookup/filter; no derived KPI.</t>
        </is>
      </c>
      <c r="O58" s="48" t="inlineStr">
        <is>
          <t>tbl_project_users; projects</t>
        </is>
      </c>
      <c r="P58" s="48" t="inlineStr">
        <is>
          <t>Data Available</t>
        </is>
      </c>
      <c r="Q58" s="48" t="inlineStr">
        <is>
          <t>Parameterized lookup/filter</t>
        </is>
      </c>
      <c r="R58" s="47" t="inlineStr">
        <is>
          <t>Low</t>
        </is>
      </c>
      <c r="S58" s="48" t="inlineStr">
        <is>
          <t>FAQ Tool Call Binding + parameterized SQL; cache intent/SQL, not live response</t>
        </is>
      </c>
      <c r="T58" s="48" t="inlineStr">
        <is>
          <t>Mapped – Direct Schema</t>
        </is>
      </c>
      <c r="U58" s="48" t="inlineStr">
        <is>
          <t>SELECT p.project_id, p.project_key, p.title, pu.access_type, pu.role_id, pu.allocation_from, pu.allocation_to, pu.allocation_hrs, pu.resource_type, pu.request_status FROM tbl_project_users pu JOIN tbl_projects p ON p.project_id = pu.project_id WHERE pu.user_id = :current_user_id AND pu.status = 1 AND pu.request_status = 'A' ORDER BY pu.allocation_from DESC, p.title;</t>
        </is>
      </c>
      <c r="V58" s="48" t="inlineStr">
        <is>
          <t>Use allocation dates and active status.</t>
        </is>
      </c>
    </row>
    <row r="59" ht="72" customHeight="1" s="38">
      <c r="A59" s="47" t="inlineStr">
        <is>
          <t>Existing – Retained</t>
        </is>
      </c>
      <c r="B59" s="48" t="n">
        <v>66</v>
      </c>
      <c r="C59" s="48" t="inlineStr">
        <is>
          <t>Delivery Head / Resource Manager / PM</t>
        </is>
      </c>
      <c r="D59" s="48" t="inlineStr">
        <is>
          <t>Low</t>
        </is>
      </c>
      <c r="E59" s="48" t="inlineStr">
        <is>
          <t>Resources</t>
        </is>
      </c>
      <c r="F59" s="48" t="inlineStr">
        <is>
          <t>Simple Lookup / Filter</t>
        </is>
      </c>
      <c r="G59" s="47" t="inlineStr">
        <is>
          <t>Simple</t>
        </is>
      </c>
      <c r="H59" s="48" t="inlineStr">
        <is>
          <t>employee_allocations</t>
        </is>
      </c>
      <c r="I59" s="48" t="inlineStr">
        <is>
          <t>Show allocations for :employee_name.</t>
        </is>
      </c>
      <c r="J59" s="48" t="inlineStr">
        <is>
          <t>Which projects is :employee_name allocated to?</t>
        </is>
      </c>
      <c r="K59" s="48" t="inlineStr">
        <is>
          <t>List :employee_name’s project assignments.</t>
        </is>
      </c>
      <c r="L59" s="48" t="inlineStr">
        <is>
          <t>employee_name, as_of_date</t>
        </is>
      </c>
      <c r="M59" s="48" t="inlineStr">
        <is>
          <t>Fast operational lookup and drill-down.</t>
        </is>
      </c>
      <c r="N59" s="48" t="inlineStr">
        <is>
          <t>Direct lookup/filter; no derived KPI.</t>
        </is>
      </c>
      <c r="O59" s="48" t="inlineStr">
        <is>
          <t>tbl_project_users; users; projects</t>
        </is>
      </c>
      <c r="P59" s="48" t="inlineStr">
        <is>
          <t>Data Available</t>
        </is>
      </c>
      <c r="Q59" s="48" t="inlineStr">
        <is>
          <t>Parameterized lookup/filter</t>
        </is>
      </c>
      <c r="R59" s="47" t="inlineStr">
        <is>
          <t>Low</t>
        </is>
      </c>
      <c r="S59" s="48" t="inlineStr">
        <is>
          <t>FAQ Tool Call Binding + parameterized SQL; cache intent/SQL, not live response</t>
        </is>
      </c>
      <c r="T59" s="48" t="inlineStr">
        <is>
          <t>Mapped – Direct Schema</t>
        </is>
      </c>
      <c r="U59" s="48" t="inlineStr">
        <is>
          <t>SELECT u.user_id, CONCAT_WS(' ', u.first_name, u.last_name) AS employee_name, p.project_id, p.title AS project_title, pu.allocation_from, pu.allocation_to, pu.allocation_hrs, pu.resource_type, pu.access_type, pu.request_status FROM tbl_users u JOIN tbl_project_users pu ON pu.user_id = u.user_id JOIN tbl_projects p ON p.project_id = pu.project_id WHERE CONCAT_WS(' ', u.first_name, u.last_name) = :employee_name AND pu.status = 1 ORDER BY pu.allocation_from DESC, p.title;</t>
        </is>
      </c>
      <c r="V59" s="48" t="inlineStr">
        <is>
          <t>RBAC required.</t>
        </is>
      </c>
    </row>
    <row r="60" ht="72" customHeight="1" s="38">
      <c r="A60" s="47" t="inlineStr">
        <is>
          <t>Existing – Retained</t>
        </is>
      </c>
      <c r="B60" s="48" t="n">
        <v>67</v>
      </c>
      <c r="C60" s="48" t="inlineStr">
        <is>
          <t>Delivery Head / Resource Manager / PM</t>
        </is>
      </c>
      <c r="D60" s="48" t="inlineStr">
        <is>
          <t>Low</t>
        </is>
      </c>
      <c r="E60" s="48" t="inlineStr">
        <is>
          <t>Resources</t>
        </is>
      </c>
      <c r="F60" s="48" t="inlineStr">
        <is>
          <t>Simple Lookup / Filter</t>
        </is>
      </c>
      <c r="G60" s="47" t="inlineStr">
        <is>
          <t>Simple</t>
        </is>
      </c>
      <c r="H60" s="48" t="inlineStr">
        <is>
          <t>project_team</t>
        </is>
      </c>
      <c r="I60" s="48" t="inlineStr">
        <is>
          <t>Who is allocated to :project_name?</t>
        </is>
      </c>
      <c r="J60" s="48" t="inlineStr">
        <is>
          <t>Show the team of :project_name.</t>
        </is>
      </c>
      <c r="K60" s="48" t="inlineStr">
        <is>
          <t>List project members for :project_name.</t>
        </is>
      </c>
      <c r="L60" s="48" t="inlineStr">
        <is>
          <t>project_name</t>
        </is>
      </c>
      <c r="M60" s="48" t="inlineStr">
        <is>
          <t>Fast operational lookup and drill-down.</t>
        </is>
      </c>
      <c r="N60" s="48" t="inlineStr">
        <is>
          <t>Direct lookup/filter; no derived KPI.</t>
        </is>
      </c>
      <c r="O60" s="48" t="inlineStr">
        <is>
          <t>tbl_project_users; users</t>
        </is>
      </c>
      <c r="P60" s="48" t="inlineStr">
        <is>
          <t>Data Available</t>
        </is>
      </c>
      <c r="Q60" s="48" t="inlineStr">
        <is>
          <t>Parameterized lookup/filter</t>
        </is>
      </c>
      <c r="R60" s="47" t="inlineStr">
        <is>
          <t>Low</t>
        </is>
      </c>
      <c r="S60" s="48" t="inlineStr">
        <is>
          <t>FAQ Tool Call Binding + parameterized SQL; cache intent/SQL, not live response</t>
        </is>
      </c>
      <c r="T60" s="48" t="inlineStr">
        <is>
          <t>Mapped – Direct Schema</t>
        </is>
      </c>
      <c r="U60" s="48" t="inlineStr">
        <is>
          <t>SELECT u.user_id, CONCAT_WS(' ', u.first_name, u.last_name) AS employee_name, u.email, pu.access_type, pu.role_id, pu.allocation_from, pu.allocation_to, pu.allocation_hrs, pu.resource_type, pu.request_status FROM tbl_projects p JOIN tbl_project_users pu ON pu.project_id = p.project_id JOIN tbl_users u ON u.user_id = pu.user_id WHERE p.title = :project_name AND pu.status = 1 ORDER BY employee_name;</t>
        </is>
      </c>
      <c r="V60" s="48" t="inlineStr">
        <is>
          <t>Filter active allocation and request status.</t>
        </is>
      </c>
    </row>
    <row r="61" ht="72" customHeight="1" s="38">
      <c r="A61" s="47" t="inlineStr">
        <is>
          <t>Existing – Retained</t>
        </is>
      </c>
      <c r="B61" s="48" t="n">
        <v>68</v>
      </c>
      <c r="C61" s="48" t="inlineStr">
        <is>
          <t>Delivery Head / Resource Manager / PM</t>
        </is>
      </c>
      <c r="D61" s="48" t="inlineStr">
        <is>
          <t>Low</t>
        </is>
      </c>
      <c r="E61" s="48" t="inlineStr">
        <is>
          <t>Resources</t>
        </is>
      </c>
      <c r="F61" s="48" t="inlineStr">
        <is>
          <t>Simple Lookup / Filter</t>
        </is>
      </c>
      <c r="G61" s="47" t="inlineStr">
        <is>
          <t>Simple</t>
        </is>
      </c>
      <c r="H61" s="48" t="inlineStr">
        <is>
          <t>project_allocated_hours</t>
        </is>
      </c>
      <c r="I61" s="48" t="inlineStr">
        <is>
          <t>Show allocated hours by user for :project_name.</t>
        </is>
      </c>
      <c r="J61" s="48" t="inlineStr">
        <is>
          <t>How many hours is each user allocated to :project_name?</t>
        </is>
      </c>
      <c r="K61" s="48" t="inlineStr">
        <is>
          <t>List resource allocation hours for :project_name.</t>
        </is>
      </c>
      <c r="L61" s="48" t="inlineStr">
        <is>
          <t>project_name</t>
        </is>
      </c>
      <c r="M61" s="48" t="inlineStr">
        <is>
          <t>Fast operational lookup and drill-down.</t>
        </is>
      </c>
      <c r="N61" s="48" t="inlineStr">
        <is>
          <t>Direct lookup/filter; no derived KPI.</t>
        </is>
      </c>
      <c r="O61" s="48" t="inlineStr">
        <is>
          <t>tbl_project_users.allocation_hrs</t>
        </is>
      </c>
      <c r="P61" s="48" t="inlineStr">
        <is>
          <t>Data Available</t>
        </is>
      </c>
      <c r="Q61" s="48" t="inlineStr">
        <is>
          <t>Parameterized lookup/filter</t>
        </is>
      </c>
      <c r="R61" s="47" t="inlineStr">
        <is>
          <t>Low</t>
        </is>
      </c>
      <c r="S61" s="48" t="inlineStr">
        <is>
          <t>FAQ Tool Call Binding + parameterized SQL; cache intent/SQL, not live response</t>
        </is>
      </c>
      <c r="T61" s="48" t="inlineStr">
        <is>
          <t>Mapped – Direct Schema</t>
        </is>
      </c>
      <c r="U61" s="48" t="inlineStr">
        <is>
          <t>SELECT u.user_id, CONCAT_WS(' ', u.first_name, u.last_name) AS employee_name, pu.allocation_hrs, pu.allocation_from, pu.allocation_to, pu.resource_type FROM tbl_projects p JOIN tbl_project_users pu ON pu.project_id = p.project_id JOIN tbl_users u ON u.user_id = pu.user_id WHERE p.title = :project_name AND pu.status = 1 AND pu.request_status = 'A' ORDER BY pu.allocation_hrs DESC, employee_name;</t>
        </is>
      </c>
      <c r="V61" s="48" t="inlineStr">
        <is>
          <t>Confirm allocation_hrs period basis.</t>
        </is>
      </c>
    </row>
    <row r="62" ht="72" customHeight="1" s="38">
      <c r="A62" s="47" t="inlineStr">
        <is>
          <t>Existing – Retained</t>
        </is>
      </c>
      <c r="B62" s="48" t="n">
        <v>69</v>
      </c>
      <c r="C62" s="48" t="inlineStr">
        <is>
          <t>Delivery Head / Resource Manager / PM</t>
        </is>
      </c>
      <c r="D62" s="48" t="inlineStr">
        <is>
          <t>Low</t>
        </is>
      </c>
      <c r="E62" s="48" t="inlineStr">
        <is>
          <t>Resources</t>
        </is>
      </c>
      <c r="F62" s="48" t="inlineStr">
        <is>
          <t>Simple Lookup / Filter</t>
        </is>
      </c>
      <c r="G62" s="47" t="inlineStr">
        <is>
          <t>Simple</t>
        </is>
      </c>
      <c r="H62" s="48" t="inlineStr">
        <is>
          <t>allocations_ending_soon</t>
        </is>
      </c>
      <c r="I62" s="48" t="inlineStr">
        <is>
          <t>Whose project allocation ends in the next :days days?</t>
        </is>
      </c>
      <c r="J62" s="48" t="inlineStr">
        <is>
          <t>Show allocations ending soon.</t>
        </is>
      </c>
      <c r="K62" s="48" t="inlineStr">
        <is>
          <t>List users rolling off projects soon.</t>
        </is>
      </c>
      <c r="L62" s="48" t="inlineStr">
        <is>
          <t>days</t>
        </is>
      </c>
      <c r="M62" s="48" t="inlineStr">
        <is>
          <t>Fast operational lookup and drill-down.</t>
        </is>
      </c>
      <c r="N62" s="48" t="inlineStr">
        <is>
          <t>Direct lookup/filter; no derived KPI.</t>
        </is>
      </c>
      <c r="O62" s="48" t="inlineStr">
        <is>
          <t>tbl_project_users.allocation_to</t>
        </is>
      </c>
      <c r="P62" s="48" t="inlineStr">
        <is>
          <t>Data Available</t>
        </is>
      </c>
      <c r="Q62" s="48" t="inlineStr">
        <is>
          <t>Parameterized lookup/filter</t>
        </is>
      </c>
      <c r="R62" s="47" t="inlineStr">
        <is>
          <t>Low</t>
        </is>
      </c>
      <c r="S62" s="48" t="inlineStr">
        <is>
          <t>FAQ Tool Call Binding + parameterized SQL; cache intent/SQL, not live response</t>
        </is>
      </c>
      <c r="T62" s="48" t="inlineStr">
        <is>
          <t>Mapped – Direct Schema</t>
        </is>
      </c>
      <c r="U62" s="48" t="inlineStr">
        <is>
          <t>SELECT u.user_id, CONCAT_WS(' ', u.first_name, u.last_name) AS employee_name, p.project_id, p.title AS project_title, pu.allocation_to, pu.allocation_hrs, pu.resource_type FROM tbl_project_users pu JOIN tbl_projects p ON p.project_id = pu.project_id JOIN tbl_users u ON u.user_id = pu.user_id WHERE pu.status = 1 AND pu.request_status = 'A' AND pu.allocation_to &gt;= CURRENT_DATE AND pu.allocation_to &lt; DATE_ADD(CURRENT_DATE, INTERVAL :days + 1 DAY) ORDER BY pu.allocation_to, employee_name;</t>
        </is>
      </c>
      <c r="V62" s="48" t="inlineStr">
        <is>
          <t>Active allocation filter required.</t>
        </is>
      </c>
    </row>
    <row r="63" ht="72" customHeight="1" s="38">
      <c r="A63" s="47" t="inlineStr">
        <is>
          <t>Existing – Retained</t>
        </is>
      </c>
      <c r="B63" s="48" t="n">
        <v>70</v>
      </c>
      <c r="C63" s="48" t="inlineStr">
        <is>
          <t>Delivery Head / Resource Manager / PM</t>
        </is>
      </c>
      <c r="D63" s="48" t="inlineStr">
        <is>
          <t>Low</t>
        </is>
      </c>
      <c r="E63" s="48" t="inlineStr">
        <is>
          <t>Resources</t>
        </is>
      </c>
      <c r="F63" s="48" t="inlineStr">
        <is>
          <t>Simple Lookup / Filter</t>
        </is>
      </c>
      <c r="G63" s="47" t="inlineStr">
        <is>
          <t>Simple</t>
        </is>
      </c>
      <c r="H63" s="48" t="inlineStr">
        <is>
          <t>allocations_starting_soon</t>
        </is>
      </c>
      <c r="I63" s="48" t="inlineStr">
        <is>
          <t>Whose project allocation starts in the next :days days?</t>
        </is>
      </c>
      <c r="J63" s="48" t="inlineStr">
        <is>
          <t>Show upcoming allocations.</t>
        </is>
      </c>
      <c r="K63" s="48" t="inlineStr">
        <is>
          <t>List users joining projects soon.</t>
        </is>
      </c>
      <c r="L63" s="48" t="inlineStr">
        <is>
          <t>days</t>
        </is>
      </c>
      <c r="M63" s="48" t="inlineStr">
        <is>
          <t>Fast operational lookup and drill-down.</t>
        </is>
      </c>
      <c r="N63" s="48" t="inlineStr">
        <is>
          <t>Direct lookup/filter; no derived KPI.</t>
        </is>
      </c>
      <c r="O63" s="48" t="inlineStr">
        <is>
          <t>tbl_project_users.allocation_from</t>
        </is>
      </c>
      <c r="P63" s="48" t="inlineStr">
        <is>
          <t>Data Available</t>
        </is>
      </c>
      <c r="Q63" s="48" t="inlineStr">
        <is>
          <t>Parameterized lookup/filter</t>
        </is>
      </c>
      <c r="R63" s="47" t="inlineStr">
        <is>
          <t>Low</t>
        </is>
      </c>
      <c r="S63" s="48" t="inlineStr">
        <is>
          <t>FAQ Tool Call Binding + parameterized SQL; cache intent/SQL, not live response</t>
        </is>
      </c>
      <c r="T63" s="48" t="inlineStr">
        <is>
          <t>Mapped – Direct Schema</t>
        </is>
      </c>
      <c r="U63" s="48" t="inlineStr">
        <is>
          <t>SELECT u.user_id, CONCAT_WS(' ', u.first_name, u.last_name) AS employee_name, p.project_id, p.title AS project_title, pu.allocation_from, pu.allocation_to, pu.allocation_hrs, pu.resource_type FROM tbl_project_users pu JOIN tbl_projects p ON p.project_id = pu.project_id JOIN tbl_users u ON u.user_id = pu.user_id WHERE pu.status = 1 AND pu.request_status IN ('A','I') AND pu.allocation_from &gt;= CURRENT_DATE AND pu.allocation_from &lt; DATE_ADD(CURRENT_DATE, INTERVAL :days + 1 DAY) ORDER BY pu.allocation_from, employee_name;</t>
        </is>
      </c>
      <c r="V63" s="48" t="inlineStr">
        <is>
          <t>Active/request status filter required.</t>
        </is>
      </c>
    </row>
    <row r="64" ht="72" customHeight="1" s="38">
      <c r="A64" s="47" t="inlineStr">
        <is>
          <t>Existing – Retained</t>
        </is>
      </c>
      <c r="B64" s="48" t="n">
        <v>71</v>
      </c>
      <c r="C64" s="48" t="inlineStr">
        <is>
          <t>Delivery Head / Resource Manager / PM</t>
        </is>
      </c>
      <c r="D64" s="48" t="inlineStr">
        <is>
          <t>Medium</t>
        </is>
      </c>
      <c r="E64" s="48" t="inlineStr">
        <is>
          <t>Resources</t>
        </is>
      </c>
      <c r="F64" s="48" t="inlineStr">
        <is>
          <t>Derived Analysis</t>
        </is>
      </c>
      <c r="G64" s="52" t="inlineStr">
        <is>
          <t>Very Complex</t>
        </is>
      </c>
      <c r="H64" s="48" t="inlineStr">
        <is>
          <t>resources_by_department</t>
        </is>
      </c>
      <c r="I64" s="48" t="inlineStr">
        <is>
          <t>Show active users in department :department_name.</t>
        </is>
      </c>
      <c r="J64" s="48" t="inlineStr">
        <is>
          <t>List department resources.</t>
        </is>
      </c>
      <c r="K64" s="48" t="inlineStr">
        <is>
          <t>Who belongs to :department_name?</t>
        </is>
      </c>
      <c r="L64" s="48" t="inlineStr">
        <is>
          <t>department_name</t>
        </is>
      </c>
      <c r="M64" s="48" t="inlineStr">
        <is>
          <t>Support governed management analysis.</t>
        </is>
      </c>
      <c r="N64" s="48" t="inlineStr">
        <is>
          <t>tbl_users does not expose a direct department_id in visible columns.</t>
        </is>
      </c>
      <c r="O64" s="48" t="inlineStr">
        <is>
          <t>tbl_users; department relationships</t>
        </is>
      </c>
      <c r="P64" s="48" t="inlineStr">
        <is>
          <t>N/A</t>
        </is>
      </c>
      <c r="Q64" s="48" t="inlineStr">
        <is>
          <t>Governed multi-table query</t>
        </is>
      </c>
      <c r="R64" s="52" t="inlineStr">
        <is>
          <t>High</t>
        </is>
      </c>
      <c r="S64" s="48" t="inlineStr">
        <is>
          <t>Orbit KPI Tool with predefined metric logic; Mesh may explain results but must not calculate metrics freely</t>
        </is>
      </c>
      <c r="T64" s="48" t="inlineStr">
        <is>
          <t>Not Applicable – Non-Direct Support</t>
        </is>
      </c>
      <c r="U64" s="48" t="n"/>
      <c r="V64" s="48" t="inlineStr">
        <is>
          <t>tbl_users does not expose a direct department_id in visible columns.</t>
        </is>
      </c>
    </row>
    <row r="65" ht="72" customHeight="1" s="38">
      <c r="A65" s="47" t="inlineStr">
        <is>
          <t>Existing – Retained</t>
        </is>
      </c>
      <c r="B65" s="48" t="n">
        <v>73</v>
      </c>
      <c r="C65" s="48" t="inlineStr">
        <is>
          <t>Delivery Head / Resource Manager / PM</t>
        </is>
      </c>
      <c r="D65" s="48" t="inlineStr">
        <is>
          <t>Low</t>
        </is>
      </c>
      <c r="E65" s="48" t="inlineStr">
        <is>
          <t>Resources</t>
        </is>
      </c>
      <c r="F65" s="48" t="inlineStr">
        <is>
          <t>Simple Lookup / Filter</t>
        </is>
      </c>
      <c r="G65" s="47" t="inlineStr">
        <is>
          <t>Simple</t>
        </is>
      </c>
      <c r="H65" s="48" t="inlineStr">
        <is>
          <t>resource_skills</t>
        </is>
      </c>
      <c r="I65" s="48" t="inlineStr">
        <is>
          <t>What skills does :employee_name have?</t>
        </is>
      </c>
      <c r="J65" s="48" t="inlineStr">
        <is>
          <t>Show :employee_name’s recorded skills.</t>
        </is>
      </c>
      <c r="K65" s="48" t="inlineStr">
        <is>
          <t>List skills for :employee_name.</t>
        </is>
      </c>
      <c r="L65" s="48" t="inlineStr">
        <is>
          <t>employee_name</t>
        </is>
      </c>
      <c r="M65" s="48" t="inlineStr">
        <is>
          <t>Fast operational lookup and drill-down.</t>
        </is>
      </c>
      <c r="N65" s="48" t="inlineStr">
        <is>
          <t>Direct lookup/filter; no derived KPI.</t>
        </is>
      </c>
      <c r="O65" s="48" t="inlineStr">
        <is>
          <t>tbl_user_skills; skill master to identify</t>
        </is>
      </c>
      <c r="P65" s="48" t="inlineStr">
        <is>
          <t>Data Available</t>
        </is>
      </c>
      <c r="Q65" s="48" t="inlineStr">
        <is>
          <t>Parameterized lookup/filter</t>
        </is>
      </c>
      <c r="R65" s="47" t="inlineStr">
        <is>
          <t>Low</t>
        </is>
      </c>
      <c r="S65" s="48" t="inlineStr">
        <is>
          <t>FAQ Tool Call Binding + parameterized SQL; cache intent/SQL, not live response</t>
        </is>
      </c>
      <c r="T65" s="48" t="inlineStr">
        <is>
          <t>Mapped – Direct Schema</t>
        </is>
      </c>
      <c r="U65" s="48" t="inlineStr">
        <is>
          <t>SELECT u.user_id, CONCAT_WS(' ', u.first_name, u.last_name) AS employee_name, s.id AS skill_id, s.name AS skill_name FROM tbl_users u JOIN tbl_user_skills us ON us.user_id = u.user_id JOIN tbl_master_skills s ON s.id = us.skill_id WHERE CONCAT_WS(' ', u.first_name, u.last_name) = :employee_name AND us.status = '1' AND s.status = '1' ORDER BY s.name;</t>
        </is>
      </c>
      <c r="V65" s="48" t="inlineStr">
        <is>
          <t>Skill reference table must be located/confirmed.</t>
        </is>
      </c>
    </row>
    <row r="66" ht="72" customHeight="1" s="38">
      <c r="A66" s="47" t="inlineStr">
        <is>
          <t>Existing – Retained</t>
        </is>
      </c>
      <c r="B66" s="48" t="n">
        <v>74</v>
      </c>
      <c r="C66" s="48" t="inlineStr">
        <is>
          <t>Delivery Head / Resource Manager / PM</t>
        </is>
      </c>
      <c r="D66" s="48" t="inlineStr">
        <is>
          <t>Medium</t>
        </is>
      </c>
      <c r="E66" s="48" t="inlineStr">
        <is>
          <t>Resources</t>
        </is>
      </c>
      <c r="F66" s="48" t="inlineStr">
        <is>
          <t>Derived Analysis</t>
        </is>
      </c>
      <c r="G66" s="51" t="inlineStr">
        <is>
          <t>Complex</t>
        </is>
      </c>
      <c r="H66" s="48" t="inlineStr">
        <is>
          <t>available_by_skill</t>
        </is>
      </c>
      <c r="I66" s="48" t="inlineStr">
        <is>
          <t>Who with skill :skill_name is available between :start_date and :end_date?</t>
        </is>
      </c>
      <c r="J66" s="48" t="inlineStr">
        <is>
          <t>Find resources with :skill_name and no overlapping allocation.</t>
        </is>
      </c>
      <c r="K66" s="48" t="inlineStr">
        <is>
          <t>Show available :skill_name resources.</t>
        </is>
      </c>
      <c r="L66" s="48" t="inlineStr">
        <is>
          <t>skill_name, start_date, end_date</t>
        </is>
      </c>
      <c r="M66" s="48" t="inlineStr">
        <is>
          <t>Support governed management analysis.</t>
        </is>
      </c>
      <c r="N66" s="48" t="inlineStr">
        <is>
          <t>Define availability and allocation capacity.</t>
        </is>
      </c>
      <c r="O66" s="48" t="inlineStr">
        <is>
          <t>tbl_user_skills; tbl_project_users</t>
        </is>
      </c>
      <c r="P66" s="48" t="inlineStr">
        <is>
          <t>N/A</t>
        </is>
      </c>
      <c r="Q66" s="48" t="inlineStr">
        <is>
          <t>Governed multi-table query</t>
        </is>
      </c>
      <c r="R66" s="52" t="inlineStr">
        <is>
          <t>High</t>
        </is>
      </c>
      <c r="S66" s="48" t="inlineStr">
        <is>
          <t>Orbit KPI Tool with predefined metric logic; Mesh may explain results but must not calculate metrics freely</t>
        </is>
      </c>
      <c r="T66" s="48" t="inlineStr">
        <is>
          <t>Not Applicable – Non-Direct Support</t>
        </is>
      </c>
      <c r="U66" s="48" t="n"/>
      <c r="V66" s="48" t="inlineStr">
        <is>
          <t>Define availability and allocation capacity.</t>
        </is>
      </c>
    </row>
    <row r="67" ht="72" customHeight="1" s="38">
      <c r="A67" s="47" t="inlineStr">
        <is>
          <t>Existing – Retained</t>
        </is>
      </c>
      <c r="B67" s="48" t="n">
        <v>75</v>
      </c>
      <c r="C67" s="48" t="inlineStr">
        <is>
          <t>Delivery Head / Resource Manager / PM</t>
        </is>
      </c>
      <c r="D67" s="48" t="inlineStr">
        <is>
          <t>Medium</t>
        </is>
      </c>
      <c r="E67" s="48" t="inlineStr">
        <is>
          <t>Resources</t>
        </is>
      </c>
      <c r="F67" s="48" t="inlineStr">
        <is>
          <t>Derived Analysis</t>
        </is>
      </c>
      <c r="G67" s="51" t="inlineStr">
        <is>
          <t>Complex</t>
        </is>
      </c>
      <c r="H67" s="48" t="inlineStr">
        <is>
          <t>overlapping_allocations</t>
        </is>
      </c>
      <c r="I67" s="48" t="inlineStr">
        <is>
          <t>Which users have overlapping project allocations?</t>
        </is>
      </c>
      <c r="J67" s="48" t="inlineStr">
        <is>
          <t>Show resource allocation conflicts.</t>
        </is>
      </c>
      <c r="K67" s="48" t="inlineStr">
        <is>
          <t>List people assigned to overlapping project periods.</t>
        </is>
      </c>
      <c r="L67" s="48" t="inlineStr">
        <is>
          <t>date_range</t>
        </is>
      </c>
      <c r="M67" s="48" t="inlineStr">
        <is>
          <t>Support governed management analysis.</t>
        </is>
      </c>
      <c r="N67" s="48" t="inlineStr">
        <is>
          <t>Does not prove overallocation unless hours/capacity are defined.</t>
        </is>
      </c>
      <c r="O67" s="48" t="inlineStr">
        <is>
          <t>tbl_project_users</t>
        </is>
      </c>
      <c r="P67" s="48" t="inlineStr">
        <is>
          <t>N/A</t>
        </is>
      </c>
      <c r="Q67" s="48" t="inlineStr">
        <is>
          <t>Governed multi-table query</t>
        </is>
      </c>
      <c r="R67" s="52" t="inlineStr">
        <is>
          <t>High</t>
        </is>
      </c>
      <c r="S67" s="48" t="inlineStr">
        <is>
          <t>Orbit KPI Tool with predefined metric logic; Mesh may explain results but must not calculate metrics freely</t>
        </is>
      </c>
      <c r="T67" s="48" t="inlineStr">
        <is>
          <t>Not Applicable – Non-Direct Support</t>
        </is>
      </c>
      <c r="U67" s="48" t="n"/>
      <c r="V67" s="48" t="inlineStr">
        <is>
          <t>Does not prove overallocation unless hours/capacity are defined.</t>
        </is>
      </c>
    </row>
    <row r="68" ht="72" customHeight="1" s="38">
      <c r="A68" s="47" t="inlineStr">
        <is>
          <t>Existing – Retained</t>
        </is>
      </c>
      <c r="B68" s="48" t="n">
        <v>76</v>
      </c>
      <c r="C68" s="48" t="inlineStr">
        <is>
          <t>Delivery Head / Resource Manager / PM</t>
        </is>
      </c>
      <c r="D68" s="48" t="inlineStr">
        <is>
          <t>Low</t>
        </is>
      </c>
      <c r="E68" s="48" t="inlineStr">
        <is>
          <t>Resources</t>
        </is>
      </c>
      <c r="F68" s="48" t="inlineStr">
        <is>
          <t>Simple Lookup / Filter</t>
        </is>
      </c>
      <c r="G68" s="47" t="inlineStr">
        <is>
          <t>Simple</t>
        </is>
      </c>
      <c r="H68" s="48" t="inlineStr">
        <is>
          <t>project_roles</t>
        </is>
      </c>
      <c r="I68" s="48" t="inlineStr">
        <is>
          <t>Show project roles for :project_name.</t>
        </is>
      </c>
      <c r="J68" s="48" t="inlineStr">
        <is>
          <t>List users and role IDs on :project_name.</t>
        </is>
      </c>
      <c r="K68" s="48" t="inlineStr">
        <is>
          <t>Who has which role on :project_name?</t>
        </is>
      </c>
      <c r="L68" s="48" t="inlineStr">
        <is>
          <t>project_name</t>
        </is>
      </c>
      <c r="M68" s="48" t="inlineStr">
        <is>
          <t>Fast operational lookup and drill-down.</t>
        </is>
      </c>
      <c r="N68" s="48" t="inlineStr">
        <is>
          <t>Direct lookup/filter; no derived KPI.</t>
        </is>
      </c>
      <c r="O68" s="48" t="inlineStr">
        <is>
          <t>tbl_project_users.role_id; role master</t>
        </is>
      </c>
      <c r="P68" s="48" t="inlineStr">
        <is>
          <t>Data Available</t>
        </is>
      </c>
      <c r="Q68" s="48" t="inlineStr">
        <is>
          <t>Parameterized lookup/filter</t>
        </is>
      </c>
      <c r="R68" s="47" t="inlineStr">
        <is>
          <t>Low</t>
        </is>
      </c>
      <c r="S68" s="48" t="inlineStr">
        <is>
          <t>FAQ Tool Call Binding + parameterized SQL; cache intent/SQL, not live response</t>
        </is>
      </c>
      <c r="T68" s="48" t="inlineStr">
        <is>
          <t>Mapped – Direct Schema</t>
        </is>
      </c>
      <c r="U68" s="48" t="inlineStr">
        <is>
          <t>SELECT u.user_id, CONCAT_WS(' ', u.first_name, u.last_name) AS employee_name, pu.role_id, r.role_name, r.role_slug FROM tbl_projects p JOIN tbl_project_users pu ON pu.project_id = p.project_id JOIN tbl_users u ON u.user_id = pu.user_id LEFT JOIN tbl_roles r ON r.role_id = pu.role_id WHERE p.title = :project_name AND pu.status = 1 ORDER BY r.role_name, employee_name;</t>
        </is>
      </c>
      <c r="V68" s="48" t="inlineStr">
        <is>
          <t>Role labels require lookup table.</t>
        </is>
      </c>
    </row>
    <row r="69" ht="72" customHeight="1" s="38">
      <c r="A69" s="47" t="inlineStr">
        <is>
          <t>Existing – Retained</t>
        </is>
      </c>
      <c r="B69" s="48" t="n">
        <v>77</v>
      </c>
      <c r="C69" s="48" t="inlineStr">
        <is>
          <t>Delivery Head / Resource Manager / PM</t>
        </is>
      </c>
      <c r="D69" s="48" t="inlineStr">
        <is>
          <t>Low</t>
        </is>
      </c>
      <c r="E69" s="48" t="inlineStr">
        <is>
          <t>Resources</t>
        </is>
      </c>
      <c r="F69" s="48" t="inlineStr">
        <is>
          <t>Simple Lookup / Filter</t>
        </is>
      </c>
      <c r="G69" s="47" t="inlineStr">
        <is>
          <t>Simple</t>
        </is>
      </c>
      <c r="H69" s="48" t="inlineStr">
        <is>
          <t>project_access_types</t>
        </is>
      </c>
      <c r="I69" s="48" t="inlineStr">
        <is>
          <t>Show access types for users on :project_name.</t>
        </is>
      </c>
      <c r="J69" s="48" t="inlineStr">
        <is>
          <t>Who has what access on :project_name?</t>
        </is>
      </c>
      <c r="K69" s="48" t="inlineStr">
        <is>
          <t>List project membership access levels.</t>
        </is>
      </c>
      <c r="L69" s="48" t="inlineStr">
        <is>
          <t>project_name</t>
        </is>
      </c>
      <c r="M69" s="48" t="inlineStr">
        <is>
          <t>Fast operational lookup and drill-down.</t>
        </is>
      </c>
      <c r="N69" s="48" t="inlineStr">
        <is>
          <t>Direct lookup/filter; no derived KPI.</t>
        </is>
      </c>
      <c r="O69" s="48" t="inlineStr">
        <is>
          <t>tbl_project_users.access_type</t>
        </is>
      </c>
      <c r="P69" s="48" t="inlineStr">
        <is>
          <t>Data Available</t>
        </is>
      </c>
      <c r="Q69" s="48" t="inlineStr">
        <is>
          <t>Parameterized lookup/filter</t>
        </is>
      </c>
      <c r="R69" s="47" t="inlineStr">
        <is>
          <t>Low</t>
        </is>
      </c>
      <c r="S69" s="48" t="inlineStr">
        <is>
          <t>FAQ Tool Call Binding + parameterized SQL; cache intent/SQL, not live response</t>
        </is>
      </c>
      <c r="T69" s="48" t="inlineStr">
        <is>
          <t>Mapped – Direct Schema</t>
        </is>
      </c>
      <c r="U69" s="48" t="inlineStr">
        <is>
          <t>SELECT pu.access_type, COUNT(*) AS user_count FROM tbl_projects p JOIN tbl_project_users pu ON pu.project_id = p.project_id WHERE p.title = :project_name AND pu.status = 1 GROUP BY pu.access_type ORDER BY pu.access_type;</t>
        </is>
      </c>
      <c r="V69" s="48" t="inlineStr">
        <is>
          <t>Enumerated values not available in schema.</t>
        </is>
      </c>
    </row>
    <row r="70" ht="72" customHeight="1" s="38">
      <c r="A70" s="47" t="inlineStr">
        <is>
          <t>Existing – Retained</t>
        </is>
      </c>
      <c r="B70" s="48" t="n">
        <v>78</v>
      </c>
      <c r="C70" s="48" t="inlineStr">
        <is>
          <t>Delivery Head / Resource Manager / PM</t>
        </is>
      </c>
      <c r="D70" s="48" t="inlineStr">
        <is>
          <t>Medium</t>
        </is>
      </c>
      <c r="E70" s="48" t="inlineStr">
        <is>
          <t>Resources</t>
        </is>
      </c>
      <c r="F70" s="48" t="inlineStr">
        <is>
          <t>Derived Analysis</t>
        </is>
      </c>
      <c r="G70" s="51" t="inlineStr">
        <is>
          <t>Complex</t>
        </is>
      </c>
      <c r="H70" s="48" t="inlineStr">
        <is>
          <t>bench_resources</t>
        </is>
      </c>
      <c r="I70" s="48" t="inlineStr">
        <is>
          <t>Who is currently on the bench?</t>
        </is>
      </c>
      <c r="J70" s="48" t="inlineStr">
        <is>
          <t>Show users with no active project allocation.</t>
        </is>
      </c>
      <c r="K70" s="48" t="inlineStr">
        <is>
          <t>List unallocated active resources.</t>
        </is>
      </c>
      <c r="L70" s="48" t="inlineStr">
        <is>
          <t>as_of_date, population_scope</t>
        </is>
      </c>
      <c r="M70" s="48" t="inlineStr">
        <is>
          <t>Support governed management analysis.</t>
        </is>
      </c>
      <c r="N70" s="48" t="inlineStr">
        <is>
          <t>Define active employee population and whether no allocation means bench.</t>
        </is>
      </c>
      <c r="O70" s="48" t="inlineStr">
        <is>
          <t>tbl_users; tbl_project_users</t>
        </is>
      </c>
      <c r="P70" s="48" t="inlineStr">
        <is>
          <t>N/A</t>
        </is>
      </c>
      <c r="Q70" s="48" t="inlineStr">
        <is>
          <t>Governed multi-table query</t>
        </is>
      </c>
      <c r="R70" s="52" t="inlineStr">
        <is>
          <t>High</t>
        </is>
      </c>
      <c r="S70" s="48" t="inlineStr">
        <is>
          <t>Orbit KPI Tool with predefined metric logic; Mesh may explain results but must not calculate metrics freely</t>
        </is>
      </c>
      <c r="T70" s="48" t="inlineStr">
        <is>
          <t>Not Applicable – Non-Direct Support</t>
        </is>
      </c>
      <c r="U70" s="48" t="n"/>
      <c r="V70" s="48" t="inlineStr">
        <is>
          <t>Define active employee population and whether no allocation means bench.</t>
        </is>
      </c>
    </row>
    <row r="71" ht="72" customHeight="1" s="38">
      <c r="A71" s="47" t="inlineStr">
        <is>
          <t>Existing – Retained</t>
        </is>
      </c>
      <c r="B71" s="48" t="n">
        <v>79</v>
      </c>
      <c r="C71" s="48" t="inlineStr">
        <is>
          <t>Delivery Head / Resource Manager / PM</t>
        </is>
      </c>
      <c r="D71" s="48" t="inlineStr">
        <is>
          <t>Medium</t>
        </is>
      </c>
      <c r="E71" s="48" t="inlineStr">
        <is>
          <t>Utilization</t>
        </is>
      </c>
      <c r="F71" s="48" t="inlineStr">
        <is>
          <t>KPI / Comparative</t>
        </is>
      </c>
      <c r="G71" s="51" t="inlineStr">
        <is>
          <t>Complex</t>
        </is>
      </c>
      <c r="H71" s="48" t="inlineStr">
        <is>
          <t>allocation_utilization_user</t>
        </is>
      </c>
      <c r="I71" s="48" t="inlineStr">
        <is>
          <t>What is :employee_name’s allocation utilization for :period?</t>
        </is>
      </c>
      <c r="J71" s="48" t="inlineStr">
        <is>
          <t>Show allocated hours versus capacity for :employee_name.</t>
        </is>
      </c>
      <c r="K71" s="48" t="inlineStr">
        <is>
          <t>How utilized is :employee_name based on allocations?</t>
        </is>
      </c>
      <c r="L71" s="48" t="inlineStr">
        <is>
          <t>employee_name, period</t>
        </is>
      </c>
      <c r="M71" s="48" t="inlineStr">
        <is>
          <t>Support prioritisation and performance comparison.</t>
        </is>
      </c>
      <c r="N71" s="48" t="inlineStr">
        <is>
          <t>Capacity/working-hour calendar is not defined.</t>
        </is>
      </c>
      <c r="O71" s="48" t="inlineStr">
        <is>
          <t>tbl_project_users.allocation_hrs</t>
        </is>
      </c>
      <c r="P71" s="48" t="inlineStr">
        <is>
          <t>N/A</t>
        </is>
      </c>
      <c r="Q71" s="48" t="inlineStr">
        <is>
          <t>Multi-table derived KPI with controlled formula</t>
        </is>
      </c>
      <c r="R71" s="52" t="inlineStr">
        <is>
          <t>High</t>
        </is>
      </c>
      <c r="S71" s="48" t="inlineStr">
        <is>
          <t>Orbit KPI Tool with predefined metric logic; Mesh may explain results but must not calculate metrics freely</t>
        </is>
      </c>
      <c r="T71" s="48" t="inlineStr">
        <is>
          <t>Not Applicable – Non-Direct Support</t>
        </is>
      </c>
      <c r="U71" s="48" t="n"/>
      <c r="V71" s="48" t="inlineStr">
        <is>
          <t>Capacity/working-hour calendar is not defined.</t>
        </is>
      </c>
    </row>
    <row r="72" ht="72" customHeight="1" s="38">
      <c r="A72" s="47" t="inlineStr">
        <is>
          <t>Existing – Retained</t>
        </is>
      </c>
      <c r="B72" s="48" t="n">
        <v>80</v>
      </c>
      <c r="C72" s="48" t="inlineStr">
        <is>
          <t>Delivery Head / Resource Manager / PM</t>
        </is>
      </c>
      <c r="D72" s="48" t="inlineStr">
        <is>
          <t>Medium</t>
        </is>
      </c>
      <c r="E72" s="48" t="inlineStr">
        <is>
          <t>Utilization</t>
        </is>
      </c>
      <c r="F72" s="48" t="inlineStr">
        <is>
          <t>KPI / Comparative</t>
        </is>
      </c>
      <c r="G72" s="51" t="inlineStr">
        <is>
          <t>Complex</t>
        </is>
      </c>
      <c r="H72" s="48" t="inlineStr">
        <is>
          <t>timesheet_utilization_user</t>
        </is>
      </c>
      <c r="I72" s="48" t="inlineStr">
        <is>
          <t>What is :employee_name’s timesheet utilization for :period?</t>
        </is>
      </c>
      <c r="J72" s="48" t="inlineStr">
        <is>
          <t>Show logged hours versus available hours for :employee_name.</t>
        </is>
      </c>
      <c r="K72" s="48" t="inlineStr">
        <is>
          <t>How utilized is :employee_name based on timesheets?</t>
        </is>
      </c>
      <c r="L72" s="48" t="inlineStr">
        <is>
          <t>employee_name, period</t>
        </is>
      </c>
      <c r="M72" s="48" t="inlineStr">
        <is>
          <t>Support prioritisation and performance comparison.</t>
        </is>
      </c>
      <c r="N72" s="48" t="inlineStr">
        <is>
          <t>Working hours and leave calendar required.</t>
        </is>
      </c>
      <c r="O72" s="48" t="inlineStr">
        <is>
          <t>tbl_timesheets</t>
        </is>
      </c>
      <c r="P72" s="48" t="inlineStr">
        <is>
          <t>N/A</t>
        </is>
      </c>
      <c r="Q72" s="48" t="inlineStr">
        <is>
          <t>Multi-table derived KPI with controlled formula</t>
        </is>
      </c>
      <c r="R72" s="52" t="inlineStr">
        <is>
          <t>High</t>
        </is>
      </c>
      <c r="S72" s="48" t="inlineStr">
        <is>
          <t>Orbit KPI Tool with predefined metric logic; Mesh may explain results but must not calculate metrics freely</t>
        </is>
      </c>
      <c r="T72" s="48" t="inlineStr">
        <is>
          <t>Not Applicable – Non-Direct Support</t>
        </is>
      </c>
      <c r="U72" s="48" t="n"/>
      <c r="V72" s="48" t="inlineStr">
        <is>
          <t>Working hours and leave calendar required.</t>
        </is>
      </c>
    </row>
    <row r="73" ht="72" customHeight="1" s="38">
      <c r="A73" s="47" t="inlineStr">
        <is>
          <t>Existing – Retained</t>
        </is>
      </c>
      <c r="B73" s="48" t="n">
        <v>81</v>
      </c>
      <c r="C73" s="48" t="inlineStr">
        <is>
          <t>Delivery Head / Resource Manager / PM</t>
        </is>
      </c>
      <c r="D73" s="48" t="inlineStr">
        <is>
          <t>Medium</t>
        </is>
      </c>
      <c r="E73" s="48" t="inlineStr">
        <is>
          <t>Utilization</t>
        </is>
      </c>
      <c r="F73" s="48" t="inlineStr">
        <is>
          <t>KPI / Comparative</t>
        </is>
      </c>
      <c r="G73" s="51" t="inlineStr">
        <is>
          <t>Complex</t>
        </is>
      </c>
      <c r="H73" s="48" t="inlineStr">
        <is>
          <t>project_resource_utilization</t>
        </is>
      </c>
      <c r="I73" s="48" t="inlineStr">
        <is>
          <t>Show utilization of resources on :project_name.</t>
        </is>
      </c>
      <c r="J73" s="48" t="inlineStr">
        <is>
          <t>How utilized is the team on :project_name?</t>
        </is>
      </c>
      <c r="K73" s="48" t="inlineStr">
        <is>
          <t>List project utilization by member.</t>
        </is>
      </c>
      <c r="L73" s="48" t="inlineStr">
        <is>
          <t>project_name, period</t>
        </is>
      </c>
      <c r="M73" s="48" t="inlineStr">
        <is>
          <t>Support prioritisation and performance comparison.</t>
        </is>
      </c>
      <c r="N73" s="48" t="inlineStr">
        <is>
          <t>Choose allocation-based or timesheet-based method.</t>
        </is>
      </c>
      <c r="O73" s="48" t="inlineStr">
        <is>
          <t>project users; timesheets; tasks</t>
        </is>
      </c>
      <c r="P73" s="48" t="inlineStr">
        <is>
          <t>N/A</t>
        </is>
      </c>
      <c r="Q73" s="48" t="inlineStr">
        <is>
          <t>Multi-table derived KPI with controlled formula</t>
        </is>
      </c>
      <c r="R73" s="52" t="inlineStr">
        <is>
          <t>High</t>
        </is>
      </c>
      <c r="S73" s="48" t="inlineStr">
        <is>
          <t>Orbit KPI Tool with predefined metric logic; Mesh may explain results but must not calculate metrics freely</t>
        </is>
      </c>
      <c r="T73" s="48" t="inlineStr">
        <is>
          <t>Not Applicable – Non-Direct Support</t>
        </is>
      </c>
      <c r="U73" s="48" t="n"/>
      <c r="V73" s="48" t="inlineStr">
        <is>
          <t>Choose allocation-based or timesheet-based method.</t>
        </is>
      </c>
    </row>
    <row r="74" ht="72" customHeight="1" s="38">
      <c r="A74" s="47" t="inlineStr">
        <is>
          <t>Existing – Retained</t>
        </is>
      </c>
      <c r="B74" s="48" t="n">
        <v>82</v>
      </c>
      <c r="C74" s="48" t="inlineStr">
        <is>
          <t>Delivery Head / Resource Manager / PM</t>
        </is>
      </c>
      <c r="D74" s="48" t="inlineStr">
        <is>
          <t>Medium</t>
        </is>
      </c>
      <c r="E74" s="48" t="inlineStr">
        <is>
          <t>Utilization</t>
        </is>
      </c>
      <c r="F74" s="48" t="inlineStr">
        <is>
          <t>KPI / Comparative</t>
        </is>
      </c>
      <c r="G74" s="51" t="inlineStr">
        <is>
          <t>Complex</t>
        </is>
      </c>
      <c r="H74" s="48" t="inlineStr">
        <is>
          <t>low_utilization_users</t>
        </is>
      </c>
      <c r="I74" s="48" t="inlineStr">
        <is>
          <t>Who is below :threshold_percent utilization in :period?</t>
        </is>
      </c>
      <c r="J74" s="48" t="inlineStr">
        <is>
          <t>Show underutilized resources.</t>
        </is>
      </c>
      <c r="K74" s="48" t="inlineStr">
        <is>
          <t>List users below the utilization threshold.</t>
        </is>
      </c>
      <c r="L74" s="48" t="inlineStr">
        <is>
          <t>threshold_percent, period</t>
        </is>
      </c>
      <c r="M74" s="48" t="inlineStr">
        <is>
          <t>Support prioritisation and performance comparison.</t>
        </is>
      </c>
      <c r="N74" s="48" t="inlineStr">
        <is>
          <t>Capacity and population rules required.</t>
        </is>
      </c>
      <c r="O74" s="48" t="inlineStr">
        <is>
          <t>project users; timesheets</t>
        </is>
      </c>
      <c r="P74" s="48" t="inlineStr">
        <is>
          <t>N/A</t>
        </is>
      </c>
      <c r="Q74" s="48" t="inlineStr">
        <is>
          <t>Multi-table derived KPI with controlled formula</t>
        </is>
      </c>
      <c r="R74" s="52" t="inlineStr">
        <is>
          <t>High</t>
        </is>
      </c>
      <c r="S74" s="48" t="inlineStr">
        <is>
          <t>Orbit KPI Tool with predefined metric logic; Mesh may explain results but must not calculate metrics freely</t>
        </is>
      </c>
      <c r="T74" s="48" t="inlineStr">
        <is>
          <t>Not Applicable – Non-Direct Support</t>
        </is>
      </c>
      <c r="U74" s="48" t="n"/>
      <c r="V74" s="48" t="inlineStr">
        <is>
          <t>Capacity and population rules required.</t>
        </is>
      </c>
    </row>
    <row r="75" ht="72" customHeight="1" s="38">
      <c r="A75" s="47" t="inlineStr">
        <is>
          <t>Existing – Retained</t>
        </is>
      </c>
      <c r="B75" s="48" t="n">
        <v>83</v>
      </c>
      <c r="C75" s="48" t="inlineStr">
        <is>
          <t>Delivery Head / Resource Manager / PM</t>
        </is>
      </c>
      <c r="D75" s="48" t="inlineStr">
        <is>
          <t>Medium</t>
        </is>
      </c>
      <c r="E75" s="48" t="inlineStr">
        <is>
          <t>Utilization</t>
        </is>
      </c>
      <c r="F75" s="48" t="inlineStr">
        <is>
          <t>KPI / Comparative</t>
        </is>
      </c>
      <c r="G75" s="51" t="inlineStr">
        <is>
          <t>Complex</t>
        </is>
      </c>
      <c r="H75" s="48" t="inlineStr">
        <is>
          <t>high_utilization_users</t>
        </is>
      </c>
      <c r="I75" s="48" t="inlineStr">
        <is>
          <t>Who is above :threshold_percent utilization in :period?</t>
        </is>
      </c>
      <c r="J75" s="48" t="inlineStr">
        <is>
          <t>Show highly utilized resources.</t>
        </is>
      </c>
      <c r="K75" s="48" t="inlineStr">
        <is>
          <t>List users over the utilization threshold.</t>
        </is>
      </c>
      <c r="L75" s="48" t="inlineStr">
        <is>
          <t>threshold_percent, period</t>
        </is>
      </c>
      <c r="M75" s="48" t="inlineStr">
        <is>
          <t>Support prioritisation and performance comparison.</t>
        </is>
      </c>
      <c r="N75" s="48" t="inlineStr">
        <is>
          <t>Capacity and overtime rules required.</t>
        </is>
      </c>
      <c r="O75" s="48" t="inlineStr">
        <is>
          <t>project users; timesheets</t>
        </is>
      </c>
      <c r="P75" s="48" t="inlineStr">
        <is>
          <t>N/A</t>
        </is>
      </c>
      <c r="Q75" s="48" t="inlineStr">
        <is>
          <t>Multi-table derived KPI with controlled formula</t>
        </is>
      </c>
      <c r="R75" s="52" t="inlineStr">
        <is>
          <t>High</t>
        </is>
      </c>
      <c r="S75" s="48" t="inlineStr">
        <is>
          <t>Orbit KPI Tool with predefined metric logic; Mesh may explain results but must not calculate metrics freely</t>
        </is>
      </c>
      <c r="T75" s="48" t="inlineStr">
        <is>
          <t>Not Applicable – Non-Direct Support</t>
        </is>
      </c>
      <c r="U75" s="48" t="n"/>
      <c r="V75" s="48" t="inlineStr">
        <is>
          <t>Capacity and overtime rules required.</t>
        </is>
      </c>
    </row>
    <row r="76" ht="72" customHeight="1" s="38">
      <c r="A76" s="47" t="inlineStr">
        <is>
          <t>Existing – Retained</t>
        </is>
      </c>
      <c r="B76" s="48" t="n">
        <v>84</v>
      </c>
      <c r="C76" s="48" t="inlineStr">
        <is>
          <t>Delivery Head / Resource Manager / PM</t>
        </is>
      </c>
      <c r="D76" s="48" t="inlineStr">
        <is>
          <t>Medium</t>
        </is>
      </c>
      <c r="E76" s="48" t="inlineStr">
        <is>
          <t>Utilization</t>
        </is>
      </c>
      <c r="F76" s="48" t="inlineStr">
        <is>
          <t>KPI / Comparative</t>
        </is>
      </c>
      <c r="G76" s="51" t="inlineStr">
        <is>
          <t>Complex</t>
        </is>
      </c>
      <c r="H76" s="48" t="inlineStr">
        <is>
          <t>allocation_conflicts</t>
        </is>
      </c>
      <c r="I76" s="48" t="inlineStr">
        <is>
          <t>Who has allocations exceeding available capacity?</t>
        </is>
      </c>
      <c r="J76" s="48" t="inlineStr">
        <is>
          <t>Show overallocated users.</t>
        </is>
      </c>
      <c r="K76" s="48" t="inlineStr">
        <is>
          <t>List resource capacity conflicts.</t>
        </is>
      </c>
      <c r="L76" s="48" t="inlineStr">
        <is>
          <t>period</t>
        </is>
      </c>
      <c r="M76" s="48" t="inlineStr">
        <is>
          <t>Support prioritisation and performance comparison.</t>
        </is>
      </c>
      <c r="N76" s="48" t="inlineStr">
        <is>
          <t>Allocation hours period basis must be known.</t>
        </is>
      </c>
      <c r="O76" s="48" t="inlineStr">
        <is>
          <t>tbl_project_users.allocation_hrs</t>
        </is>
      </c>
      <c r="P76" s="48" t="inlineStr">
        <is>
          <t>N/A</t>
        </is>
      </c>
      <c r="Q76" s="48" t="inlineStr">
        <is>
          <t>Multi-table derived KPI with controlled formula</t>
        </is>
      </c>
      <c r="R76" s="52" t="inlineStr">
        <is>
          <t>High</t>
        </is>
      </c>
      <c r="S76" s="48" t="inlineStr">
        <is>
          <t>Orbit KPI Tool with predefined metric logic; Mesh may explain results but must not calculate metrics freely</t>
        </is>
      </c>
      <c r="T76" s="48" t="inlineStr">
        <is>
          <t>Not Applicable – Non-Direct Support</t>
        </is>
      </c>
      <c r="U76" s="48" t="n"/>
      <c r="V76" s="48" t="inlineStr">
        <is>
          <t>Allocation hours period basis must be known.</t>
        </is>
      </c>
    </row>
    <row r="77" ht="72" customHeight="1" s="38">
      <c r="A77" s="47" t="inlineStr">
        <is>
          <t>Existing – Retained</t>
        </is>
      </c>
      <c r="B77" s="48" t="n">
        <v>85</v>
      </c>
      <c r="C77" s="48" t="inlineStr">
        <is>
          <t>Delivery Head / Resource Manager / PM</t>
        </is>
      </c>
      <c r="D77" s="48" t="inlineStr">
        <is>
          <t>Medium</t>
        </is>
      </c>
      <c r="E77" s="48" t="inlineStr">
        <is>
          <t>Utilization</t>
        </is>
      </c>
      <c r="F77" s="48" t="inlineStr">
        <is>
          <t>KPI / Comparative</t>
        </is>
      </c>
      <c r="G77" s="51" t="inlineStr">
        <is>
          <t>Complex</t>
        </is>
      </c>
      <c r="H77" s="48" t="inlineStr">
        <is>
          <t>idle_capacity</t>
        </is>
      </c>
      <c r="I77" s="48" t="inlineStr">
        <is>
          <t>How much idle capacity is available in :period?</t>
        </is>
      </c>
      <c r="J77" s="48" t="inlineStr">
        <is>
          <t>Show unused resource capacity.</t>
        </is>
      </c>
      <c r="K77" s="48" t="inlineStr">
        <is>
          <t>What capacity remains unallocated?</t>
        </is>
      </c>
      <c r="L77" s="48" t="inlineStr">
        <is>
          <t>period, population_scope</t>
        </is>
      </c>
      <c r="M77" s="48" t="inlineStr">
        <is>
          <t>Support prioritisation and performance comparison.</t>
        </is>
      </c>
      <c r="N77" s="48" t="inlineStr">
        <is>
          <t>Requires working calendar and eligible population.</t>
        </is>
      </c>
      <c r="O77" s="48" t="inlineStr">
        <is>
          <t>project users; users</t>
        </is>
      </c>
      <c r="P77" s="48" t="inlineStr">
        <is>
          <t>N/A</t>
        </is>
      </c>
      <c r="Q77" s="48" t="inlineStr">
        <is>
          <t>Multi-table derived KPI with controlled formula</t>
        </is>
      </c>
      <c r="R77" s="52" t="inlineStr">
        <is>
          <t>High</t>
        </is>
      </c>
      <c r="S77" s="48" t="inlineStr">
        <is>
          <t>Orbit KPI Tool with predefined metric logic; Mesh may explain results but must not calculate metrics freely</t>
        </is>
      </c>
      <c r="T77" s="48" t="inlineStr">
        <is>
          <t>Not Applicable – Non-Direct Support</t>
        </is>
      </c>
      <c r="U77" s="48" t="n"/>
      <c r="V77" s="48" t="inlineStr">
        <is>
          <t>Requires working calendar and eligible population.</t>
        </is>
      </c>
    </row>
    <row r="78" ht="72" customHeight="1" s="38">
      <c r="A78" s="47" t="inlineStr">
        <is>
          <t>Existing – Retained</t>
        </is>
      </c>
      <c r="B78" s="48" t="n">
        <v>86</v>
      </c>
      <c r="C78" s="48" t="inlineStr">
        <is>
          <t>Delivery Head / Resource Manager / PM</t>
        </is>
      </c>
      <c r="D78" s="48" t="inlineStr">
        <is>
          <t>Medium</t>
        </is>
      </c>
      <c r="E78" s="48" t="inlineStr">
        <is>
          <t>Utilization</t>
        </is>
      </c>
      <c r="F78" s="48" t="inlineStr">
        <is>
          <t>KPI / Comparative</t>
        </is>
      </c>
      <c r="G78" s="51" t="inlineStr">
        <is>
          <t>Complex</t>
        </is>
      </c>
      <c r="H78" s="48" t="inlineStr">
        <is>
          <t>utilization_by_role</t>
        </is>
      </c>
      <c r="I78" s="48" t="inlineStr">
        <is>
          <t>Show utilization by project role for :period.</t>
        </is>
      </c>
      <c r="J78" s="48" t="inlineStr">
        <is>
          <t>Compare resource utilization across roles.</t>
        </is>
      </c>
      <c r="K78" s="48" t="inlineStr">
        <is>
          <t>What is utilization by role?</t>
        </is>
      </c>
      <c r="L78" s="48" t="inlineStr">
        <is>
          <t>period</t>
        </is>
      </c>
      <c r="M78" s="48" t="inlineStr">
        <is>
          <t>Support prioritisation and performance comparison.</t>
        </is>
      </c>
      <c r="N78" s="48" t="inlineStr">
        <is>
          <t>Role master and capacity formula required.</t>
        </is>
      </c>
      <c r="O78" s="48" t="inlineStr">
        <is>
          <t>project users.role_id; timesheets</t>
        </is>
      </c>
      <c r="P78" s="48" t="inlineStr">
        <is>
          <t>N/A</t>
        </is>
      </c>
      <c r="Q78" s="48" t="inlineStr">
        <is>
          <t>Multi-table derived KPI with controlled formula</t>
        </is>
      </c>
      <c r="R78" s="52" t="inlineStr">
        <is>
          <t>High</t>
        </is>
      </c>
      <c r="S78" s="48" t="inlineStr">
        <is>
          <t>Orbit KPI Tool with predefined metric logic; Mesh may explain results but must not calculate metrics freely</t>
        </is>
      </c>
      <c r="T78" s="48" t="inlineStr">
        <is>
          <t>Not Applicable – Non-Direct Support</t>
        </is>
      </c>
      <c r="U78" s="48" t="n"/>
      <c r="V78" s="48" t="inlineStr">
        <is>
          <t>Role master and capacity formula required.</t>
        </is>
      </c>
    </row>
    <row r="79" ht="72" customHeight="1" s="38">
      <c r="A79" s="47" t="inlineStr">
        <is>
          <t>Existing – Retained</t>
        </is>
      </c>
      <c r="B79" s="48" t="n">
        <v>87</v>
      </c>
      <c r="C79" s="48" t="inlineStr">
        <is>
          <t>Delivery Head / Resource Manager / PM</t>
        </is>
      </c>
      <c r="D79" s="48" t="inlineStr">
        <is>
          <t>Medium</t>
        </is>
      </c>
      <c r="E79" s="48" t="inlineStr">
        <is>
          <t>Utilization</t>
        </is>
      </c>
      <c r="F79" s="48" t="inlineStr">
        <is>
          <t>KPI / Comparative</t>
        </is>
      </c>
      <c r="G79" s="51" t="inlineStr">
        <is>
          <t>Complex</t>
        </is>
      </c>
      <c r="H79" s="48" t="inlineStr">
        <is>
          <t>utilization_by_department</t>
        </is>
      </c>
      <c r="I79" s="48" t="inlineStr">
        <is>
          <t>Show utilization for department :department_name in :period.</t>
        </is>
      </c>
      <c r="J79" s="48" t="inlineStr">
        <is>
          <t>How utilized is :department_name?</t>
        </is>
      </c>
      <c r="K79" s="48" t="inlineStr">
        <is>
          <t>Give department utilization.</t>
        </is>
      </c>
      <c r="L79" s="48" t="inlineStr">
        <is>
          <t>department_name, period</t>
        </is>
      </c>
      <c r="M79" s="48" t="inlineStr">
        <is>
          <t>Support prioritisation and performance comparison.</t>
        </is>
      </c>
      <c r="N79" s="48" t="inlineStr">
        <is>
          <t>User-department mapping must be confirmed.</t>
        </is>
      </c>
      <c r="O79" s="48" t="inlineStr">
        <is>
          <t>users; project users; timesheets</t>
        </is>
      </c>
      <c r="P79" s="48" t="inlineStr">
        <is>
          <t>N/A</t>
        </is>
      </c>
      <c r="Q79" s="48" t="inlineStr">
        <is>
          <t>Multi-table derived KPI with controlled formula</t>
        </is>
      </c>
      <c r="R79" s="52" t="inlineStr">
        <is>
          <t>High</t>
        </is>
      </c>
      <c r="S79" s="48" t="inlineStr">
        <is>
          <t>Orbit KPI Tool with predefined metric logic; Mesh may explain results but must not calculate metrics freely</t>
        </is>
      </c>
      <c r="T79" s="48" t="inlineStr">
        <is>
          <t>Not Applicable – Non-Direct Support</t>
        </is>
      </c>
      <c r="U79" s="48" t="n"/>
      <c r="V79" s="48" t="inlineStr">
        <is>
          <t>User-department mapping must be confirmed.</t>
        </is>
      </c>
    </row>
    <row r="80" ht="72" customHeight="1" s="38">
      <c r="A80" s="47" t="inlineStr">
        <is>
          <t>Existing – Retained</t>
        </is>
      </c>
      <c r="B80" s="48" t="n">
        <v>88</v>
      </c>
      <c r="C80" s="48" t="inlineStr">
        <is>
          <t>Delivery Head / Resource Manager / PM</t>
        </is>
      </c>
      <c r="D80" s="51" t="inlineStr">
        <is>
          <t>High</t>
        </is>
      </c>
      <c r="E80" s="48" t="inlineStr">
        <is>
          <t>Utilization</t>
        </is>
      </c>
      <c r="F80" s="48" t="inlineStr">
        <is>
          <t>Forecast / Predictive</t>
        </is>
      </c>
      <c r="G80" s="51" t="inlineStr">
        <is>
          <t>Complex</t>
        </is>
      </c>
      <c r="H80" s="48" t="inlineStr">
        <is>
          <t>forecast_utilization</t>
        </is>
      </c>
      <c r="I80" s="48" t="inlineStr">
        <is>
          <t>What is forecast utilization for :future_period?</t>
        </is>
      </c>
      <c r="J80" s="48" t="inlineStr">
        <is>
          <t>Show expected resource utilization next month.</t>
        </is>
      </c>
      <c r="K80" s="48" t="inlineStr">
        <is>
          <t>Forecast allocation-based utilization.</t>
        </is>
      </c>
      <c r="L80" s="48" t="inlineStr">
        <is>
          <t>future_period</t>
        </is>
      </c>
      <c r="M80" s="48" t="inlineStr">
        <is>
          <t>Support proactive intervention before delivery failure.</t>
        </is>
      </c>
      <c r="N80" s="48" t="inlineStr">
        <is>
          <t>Only allocation-based forecast appears possible from schema.</t>
        </is>
      </c>
      <c r="O80" s="48" t="inlineStr">
        <is>
          <t>tbl_project_users allocation dates/hours</t>
        </is>
      </c>
      <c r="P80" s="48" t="inlineStr">
        <is>
          <t>N/A</t>
        </is>
      </c>
      <c r="Q80" s="48" t="inlineStr">
        <is>
          <t>Composite score / forecast tool using deterministic indicators</t>
        </is>
      </c>
      <c r="R80" s="52" t="inlineStr">
        <is>
          <t>High</t>
        </is>
      </c>
      <c r="S80" s="48" t="inlineStr">
        <is>
          <t>Orbit KPI/Watchlist Tool with fixed scoring logic; optional Mesh explanation after computation</t>
        </is>
      </c>
      <c r="T80" s="48" t="inlineStr">
        <is>
          <t>Not Applicable – Non-Direct Support</t>
        </is>
      </c>
      <c r="U80" s="48" t="n"/>
      <c r="V80" s="48" t="inlineStr">
        <is>
          <t>Only allocation-based forecast appears possible from schema.</t>
        </is>
      </c>
    </row>
    <row r="81" ht="72" customHeight="1" s="38">
      <c r="A81" s="47" t="inlineStr">
        <is>
          <t>Existing – Retained</t>
        </is>
      </c>
      <c r="B81" s="48" t="n">
        <v>89</v>
      </c>
      <c r="C81" s="48" t="inlineStr">
        <is>
          <t>CEO / Delivery Head / Finance</t>
        </is>
      </c>
      <c r="D81" s="51" t="inlineStr">
        <is>
          <t>High</t>
        </is>
      </c>
      <c r="E81" s="48" t="inlineStr">
        <is>
          <t>Estimation &amp; Financials</t>
        </is>
      </c>
      <c r="F81" s="48" t="inlineStr">
        <is>
          <t>Simple Lookup / Filter</t>
        </is>
      </c>
      <c r="G81" s="47" t="inlineStr">
        <is>
          <t>Simple</t>
        </is>
      </c>
      <c r="H81" s="48" t="inlineStr">
        <is>
          <t>project_estimate</t>
        </is>
      </c>
      <c r="I81" s="48" t="inlineStr">
        <is>
          <t>What is the estimate for :project_name?</t>
        </is>
      </c>
      <c r="J81" s="48" t="inlineStr">
        <is>
          <t>Show the project estimate value.</t>
        </is>
      </c>
      <c r="K81" s="48" t="inlineStr">
        <is>
          <t>How much effort is estimated for :project_name?</t>
        </is>
      </c>
      <c r="L81" s="48" t="inlineStr">
        <is>
          <t>project_name</t>
        </is>
      </c>
      <c r="M81" s="48" t="inlineStr">
        <is>
          <t>Fast operational lookup and drill-down.</t>
        </is>
      </c>
      <c r="N81" s="48" t="inlineStr">
        <is>
          <t>Direct lookup/filter; no derived KPI.</t>
        </is>
      </c>
      <c r="O81" s="48" t="inlineStr">
        <is>
          <t>tbl_projects.estimate</t>
        </is>
      </c>
      <c r="P81" s="48" t="inlineStr">
        <is>
          <t>Data Available</t>
        </is>
      </c>
      <c r="Q81" s="48" t="inlineStr">
        <is>
          <t>Parameterized lookup/filter</t>
        </is>
      </c>
      <c r="R81" s="47" t="inlineStr">
        <is>
          <t>Low</t>
        </is>
      </c>
      <c r="S81" s="48" t="inlineStr">
        <is>
          <t>FAQ Tool Call Binding + parameterized SQL; cache intent/SQL, not live response</t>
        </is>
      </c>
      <c r="T81" s="48" t="inlineStr">
        <is>
          <t>Mapped – Direct Schema</t>
        </is>
      </c>
      <c r="U81" s="48" t="inlineStr">
        <is>
          <t>SELECT p.project_id, p.project_key, p.title, p.estimate AS estimated_hours, p.is_approved FROM tbl_projects p WHERE p.title = :project_name AND p.status = 1 AND p.archive = 0 ORDER BY p.project_id;</t>
        </is>
      </c>
      <c r="V81" s="48" t="inlineStr">
        <is>
          <t>Confirm whether estimate is hours, days, or cost.</t>
        </is>
      </c>
    </row>
    <row r="82" ht="72" customHeight="1" s="38">
      <c r="A82" s="47" t="inlineStr">
        <is>
          <t>Existing – Retained</t>
        </is>
      </c>
      <c r="B82" s="48" t="n">
        <v>90</v>
      </c>
      <c r="C82" s="48" t="inlineStr">
        <is>
          <t>CEO / Delivery Head / Finance</t>
        </is>
      </c>
      <c r="D82" s="51" t="inlineStr">
        <is>
          <t>High</t>
        </is>
      </c>
      <c r="E82" s="48" t="inlineStr">
        <is>
          <t>Estimation &amp; Financials</t>
        </is>
      </c>
      <c r="F82" s="48" t="inlineStr">
        <is>
          <t>Aggregation / Dashboard KPI</t>
        </is>
      </c>
      <c r="G82" s="49" t="inlineStr">
        <is>
          <t>Moderate</t>
        </is>
      </c>
      <c r="H82" s="48" t="inlineStr">
        <is>
          <t>project_hours_summary</t>
        </is>
      </c>
      <c r="I82" s="48" t="inlineStr">
        <is>
          <t>Show total booked and chargeable hours for :project_name.</t>
        </is>
      </c>
      <c r="J82" s="48" t="inlineStr">
        <is>
          <t>What are the booked versus chargeable hours?</t>
        </is>
      </c>
      <c r="K82" s="48" t="inlineStr">
        <is>
          <t>Summarize project hour totals.</t>
        </is>
      </c>
      <c r="L82" s="48" t="inlineStr">
        <is>
          <t>project_name</t>
        </is>
      </c>
      <c r="M82" s="48" t="inlineStr">
        <is>
          <t>Provide a reusable dashboard metric for monitoring.</t>
        </is>
      </c>
      <c r="N82" s="48" t="inlineStr">
        <is>
          <t>Confirm refresh/source logic.</t>
        </is>
      </c>
      <c r="O82" s="48" t="inlineStr">
        <is>
          <t>tbl_projects.total_hours_booked; total_chargable_hours</t>
        </is>
      </c>
      <c r="P82" s="48" t="inlineStr">
        <is>
          <t>Data Available</t>
        </is>
      </c>
      <c r="Q82" s="48" t="inlineStr">
        <is>
          <t>Predefined aggregation / grouped KPI query</t>
        </is>
      </c>
      <c r="R82" s="50" t="inlineStr">
        <is>
          <t>Medium</t>
        </is>
      </c>
      <c r="S82" s="48" t="inlineStr">
        <is>
          <t>FAQ/NL2SQL cached template or Orbit aggregation tool; execute on live data</t>
        </is>
      </c>
      <c r="T82" s="48" t="inlineStr">
        <is>
          <t>Mapped – Direct Schema</t>
        </is>
      </c>
      <c r="U82" s="48" t="inlineStr">
        <is>
          <t>SELECT p.project_id, p.project_key, p.title, p.estimate AS estimated_hours, p.total_hours_booked, p.total_chargable_hours, p.grant_hours, p.combined_hours FROM tbl_projects p WHERE p.title = :project_name AND p.status = 1 AND p.archive = 0 ORDER BY p.project_id;</t>
        </is>
      </c>
      <c r="V82" s="48" t="inlineStr">
        <is>
          <t>Confirm refresh/source logic.</t>
        </is>
      </c>
    </row>
    <row r="83" ht="72" customHeight="1" s="38">
      <c r="A83" s="47" t="inlineStr">
        <is>
          <t>Existing – Retained</t>
        </is>
      </c>
      <c r="B83" s="48" t="n">
        <v>91</v>
      </c>
      <c r="C83" s="48" t="inlineStr">
        <is>
          <t>CEO / Delivery Head / Finance</t>
        </is>
      </c>
      <c r="D83" s="51" t="inlineStr">
        <is>
          <t>High</t>
        </is>
      </c>
      <c r="E83" s="48" t="inlineStr">
        <is>
          <t>Estimation &amp; Financials</t>
        </is>
      </c>
      <c r="F83" s="48" t="inlineStr">
        <is>
          <t>Aggregation / Dashboard KPI</t>
        </is>
      </c>
      <c r="G83" s="51" t="inlineStr">
        <is>
          <t>Complex</t>
        </is>
      </c>
      <c r="H83" s="48" t="inlineStr">
        <is>
          <t>project_grant_hours</t>
        </is>
      </c>
      <c r="I83" s="48" t="inlineStr">
        <is>
          <t>How many grant hours does :project_name have?</t>
        </is>
      </c>
      <c r="J83" s="48" t="inlineStr">
        <is>
          <t>Show available grant hours.</t>
        </is>
      </c>
      <c r="K83" s="48" t="inlineStr">
        <is>
          <t>What are the granted hours for :project_name?</t>
        </is>
      </c>
      <c r="L83" s="48" t="inlineStr">
        <is>
          <t>project_name</t>
        </is>
      </c>
      <c r="M83" s="48" t="inlineStr">
        <is>
          <t>Provide a reusable dashboard metric for monitoring.</t>
        </is>
      </c>
      <c r="N83" s="48" t="inlineStr">
        <is>
          <t>grant_hours was visible in archive/backup; confirm current tbl_projects column.</t>
        </is>
      </c>
      <c r="O83" s="48" t="inlineStr">
        <is>
          <t>tbl_projects archive/backup grant_hours</t>
        </is>
      </c>
      <c r="P83" s="48" t="inlineStr">
        <is>
          <t>N/A</t>
        </is>
      </c>
      <c r="Q83" s="48" t="inlineStr">
        <is>
          <t>Predefined aggregation / grouped KPI query</t>
        </is>
      </c>
      <c r="R83" s="52" t="inlineStr">
        <is>
          <t>High</t>
        </is>
      </c>
      <c r="S83" s="48" t="inlineStr">
        <is>
          <t>Orbit KPI Tool with predefined metric logic; Mesh may explain results but must not calculate metrics freely</t>
        </is>
      </c>
      <c r="T83" s="48" t="inlineStr">
        <is>
          <t>Not Applicable – Non-Direct Support</t>
        </is>
      </c>
      <c r="U83" s="48" t="n"/>
      <c r="V83" s="48" t="inlineStr">
        <is>
          <t>grant_hours was visible in archive/backup; confirm current tbl_projects column.</t>
        </is>
      </c>
    </row>
    <row r="84" ht="72" customHeight="1" s="38">
      <c r="A84" s="47" t="inlineStr">
        <is>
          <t>Existing – Retained</t>
        </is>
      </c>
      <c r="B84" s="48" t="n">
        <v>92</v>
      </c>
      <c r="C84" s="48" t="inlineStr">
        <is>
          <t>CEO / Delivery Head / Finance</t>
        </is>
      </c>
      <c r="D84" s="51" t="inlineStr">
        <is>
          <t>High</t>
        </is>
      </c>
      <c r="E84" s="48" t="inlineStr">
        <is>
          <t>Estimation &amp; Financials</t>
        </is>
      </c>
      <c r="F84" s="48" t="inlineStr">
        <is>
          <t>Derived Analysis</t>
        </is>
      </c>
      <c r="G84" s="52" t="inlineStr">
        <is>
          <t>Very Complex</t>
        </is>
      </c>
      <c r="H84" s="48" t="inlineStr">
        <is>
          <t>project_deal_value</t>
        </is>
      </c>
      <c r="I84" s="48" t="inlineStr">
        <is>
          <t>What is the deal value of :project_name?</t>
        </is>
      </c>
      <c r="J84" s="48" t="inlineStr">
        <is>
          <t>Show the commercial value of :project_name.</t>
        </is>
      </c>
      <c r="K84" s="48" t="inlineStr">
        <is>
          <t>What value is recorded for :project_name?</t>
        </is>
      </c>
      <c r="L84" s="48" t="inlineStr">
        <is>
          <t>project_name</t>
        </is>
      </c>
      <c r="M84" s="48" t="inlineStr">
        <is>
          <t>Support governed management analysis.</t>
        </is>
      </c>
      <c r="N84" s="48" t="inlineStr">
        <is>
          <t>Confirm currency and financial RBAC.</t>
        </is>
      </c>
      <c r="O84" s="48" t="inlineStr">
        <is>
          <t>tbl_projects.deal_value</t>
        </is>
      </c>
      <c r="P84" s="48" t="inlineStr">
        <is>
          <t>N/A</t>
        </is>
      </c>
      <c r="Q84" s="48" t="inlineStr">
        <is>
          <t>Governed multi-table query</t>
        </is>
      </c>
      <c r="R84" s="52" t="inlineStr">
        <is>
          <t>High</t>
        </is>
      </c>
      <c r="S84" s="48" t="inlineStr">
        <is>
          <t>Orbit KPI Tool with predefined metric logic; Mesh may explain results but must not calculate metrics freely</t>
        </is>
      </c>
      <c r="T84" s="48" t="inlineStr">
        <is>
          <t>Not Applicable – Non-Direct Support</t>
        </is>
      </c>
      <c r="U84" s="48" t="n"/>
      <c r="V84" s="48" t="inlineStr">
        <is>
          <t>Confirm currency and financial RBAC.</t>
        </is>
      </c>
    </row>
    <row r="85" ht="72" customHeight="1" s="38">
      <c r="A85" s="47" t="inlineStr">
        <is>
          <t>Existing – Retained</t>
        </is>
      </c>
      <c r="B85" s="48" t="n">
        <v>98</v>
      </c>
      <c r="C85" s="48" t="inlineStr">
        <is>
          <t>CEO / Delivery Head / Finance</t>
        </is>
      </c>
      <c r="D85" s="51" t="inlineStr">
        <is>
          <t>High</t>
        </is>
      </c>
      <c r="E85" s="48" t="inlineStr">
        <is>
          <t>Estimation &amp; Financials</t>
        </is>
      </c>
      <c r="F85" s="48" t="inlineStr">
        <is>
          <t>Aggregation / Dashboard KPI</t>
        </is>
      </c>
      <c r="G85" s="49" t="inlineStr">
        <is>
          <t>Moderate</t>
        </is>
      </c>
      <c r="H85" s="48" t="inlineStr">
        <is>
          <t>infrastructure_cost_summary</t>
        </is>
      </c>
      <c r="I85" s="48" t="inlineStr">
        <is>
          <t>Show infrastructure cost estimates for :project_name.</t>
        </is>
      </c>
      <c r="J85" s="48" t="inlineStr">
        <is>
          <t>What monthly infrastructure cost is recorded?</t>
        </is>
      </c>
      <c r="K85" s="48" t="inlineStr">
        <is>
          <t>Summarize infrastructure requirement costs.</t>
        </is>
      </c>
      <c r="L85" s="48" t="inlineStr">
        <is>
          <t>project_name</t>
        </is>
      </c>
      <c r="M85" s="48" t="inlineStr">
        <is>
          <t>Provide a reusable dashboard metric for monitoring.</t>
        </is>
      </c>
      <c r="N85" s="48" t="inlineStr">
        <is>
          <t>Currency not explicit.</t>
        </is>
      </c>
      <c r="O85" s="48" t="inlineStr">
        <is>
          <t>project_requirements_lineitem; infrastructure requirements</t>
        </is>
      </c>
      <c r="P85" s="48" t="inlineStr">
        <is>
          <t>Data Available</t>
        </is>
      </c>
      <c r="Q85" s="48" t="inlineStr">
        <is>
          <t>Predefined aggregation / grouped KPI query</t>
        </is>
      </c>
      <c r="R85" s="50" t="inlineStr">
        <is>
          <t>Medium</t>
        </is>
      </c>
      <c r="S85" s="48" t="inlineStr">
        <is>
          <t>FAQ/NL2SQL cached template or Orbit aggregation tool; execute on live data</t>
        </is>
      </c>
      <c r="T85" s="48" t="inlineStr">
        <is>
          <t>Mapped – Direct Schema</t>
        </is>
      </c>
      <c r="U85" s="48" t="inlineStr">
        <is>
          <t>SELECT ir.requirements_id, ir.project_id, ir.tag, ir.provided_by, li.service_category, li.tennancy, li.instance_type, li.region, li.operating_system, li.vcpu, li.memory, li.storage, li.cost, li.monthly_cost, li.version FROM tbl_projects p JOIN project_infrastructure_requirements ir ON ir.project_id = p.project_id JOIN project_requirements_lineitem li ON li.requirements_id = ir.requirements_id WHERE p.title = :project_name ORDER BY ir.requirements_id, li.sl_no;</t>
        </is>
      </c>
      <c r="V85" s="48" t="inlineStr">
        <is>
          <t>Currency not explicit.</t>
        </is>
      </c>
    </row>
    <row r="86" ht="72" customHeight="1" s="38">
      <c r="A86" s="47" t="inlineStr">
        <is>
          <t>Existing – Retained</t>
        </is>
      </c>
      <c r="B86" s="48" t="n">
        <v>99</v>
      </c>
      <c r="C86" s="48" t="inlineStr">
        <is>
          <t>CEO / Delivery Head / Finance</t>
        </is>
      </c>
      <c r="D86" s="51" t="inlineStr">
        <is>
          <t>High</t>
        </is>
      </c>
      <c r="E86" s="48" t="inlineStr">
        <is>
          <t>Estimation &amp; Financials</t>
        </is>
      </c>
      <c r="F86" s="48" t="inlineStr">
        <is>
          <t>KPI / Comparative</t>
        </is>
      </c>
      <c r="G86" s="51" t="inlineStr">
        <is>
          <t>Complex</t>
        </is>
      </c>
      <c r="H86" s="48" t="inlineStr">
        <is>
          <t>project_budget_status</t>
        </is>
      </c>
      <c r="I86" s="48" t="inlineStr">
        <is>
          <t>What is the budget status of :project_name?</t>
        </is>
      </c>
      <c r="J86" s="48" t="inlineStr">
        <is>
          <t>How much project budget remains?</t>
        </is>
      </c>
      <c r="K86" s="48" t="inlineStr">
        <is>
          <t>Is :project_name within budget?</t>
        </is>
      </c>
      <c r="L86" s="48" t="inlineStr">
        <is>
          <t>project_name</t>
        </is>
      </c>
      <c r="M86" s="48" t="inlineStr">
        <is>
          <t>Support prioritisation and performance comparison.</t>
        </is>
      </c>
      <c r="N86" s="48" t="inlineStr">
        <is>
          <t>No explicit approved budget, actual cost, or remaining budget fields identified.</t>
        </is>
      </c>
      <c r="O86" s="48" t="inlineStr">
        <is>
          <t>project/estimation tables</t>
        </is>
      </c>
      <c r="P86" s="48" t="inlineStr">
        <is>
          <t>N/A</t>
        </is>
      </c>
      <c r="Q86" s="48" t="inlineStr">
        <is>
          <t>Multi-table derived KPI with controlled formula</t>
        </is>
      </c>
      <c r="R86" s="52" t="inlineStr">
        <is>
          <t>High</t>
        </is>
      </c>
      <c r="S86" s="48" t="inlineStr">
        <is>
          <t>Orbit KPI Tool with predefined metric logic; Mesh may explain results but must not calculate metrics freely</t>
        </is>
      </c>
      <c r="T86" s="48" t="inlineStr">
        <is>
          <t>Not Applicable – Non-Direct Support</t>
        </is>
      </c>
      <c r="U86" s="48" t="n"/>
      <c r="V86" s="48" t="inlineStr">
        <is>
          <t>No explicit approved budget, actual cost, or remaining budget fields identified.</t>
        </is>
      </c>
    </row>
    <row r="87" ht="72" customHeight="1" s="38">
      <c r="A87" s="47" t="inlineStr">
        <is>
          <t>Existing – Retained</t>
        </is>
      </c>
      <c r="B87" s="48" t="n">
        <v>100</v>
      </c>
      <c r="C87" s="48" t="inlineStr">
        <is>
          <t>CEO / Delivery Head / Finance</t>
        </is>
      </c>
      <c r="D87" s="51" t="inlineStr">
        <is>
          <t>High</t>
        </is>
      </c>
      <c r="E87" s="48" t="inlineStr">
        <is>
          <t>Estimation &amp; Financials</t>
        </is>
      </c>
      <c r="F87" s="48" t="inlineStr">
        <is>
          <t>KPI / Comparative</t>
        </is>
      </c>
      <c r="G87" s="51" t="inlineStr">
        <is>
          <t>Complex</t>
        </is>
      </c>
      <c r="H87" s="48" t="inlineStr">
        <is>
          <t>project_margin</t>
        </is>
      </c>
      <c r="I87" s="48" t="inlineStr">
        <is>
          <t>What is the margin of :project_name?</t>
        </is>
      </c>
      <c r="J87" s="48" t="inlineStr">
        <is>
          <t>Show revenue minus project cost.</t>
        </is>
      </c>
      <c r="K87" s="48" t="inlineStr">
        <is>
          <t>Is :project_name profitable?</t>
        </is>
      </c>
      <c r="L87" s="48" t="inlineStr">
        <is>
          <t>project_name</t>
        </is>
      </c>
      <c r="M87" s="48" t="inlineStr">
        <is>
          <t>Support prioritisation and performance comparison.</t>
        </is>
      </c>
      <c r="N87" s="48" t="inlineStr">
        <is>
          <t>Complete cost model and currency rules are absent.</t>
        </is>
      </c>
      <c r="O87" s="48" t="inlineStr">
        <is>
          <t>tbl_projects.deal_value; partial cost data</t>
        </is>
      </c>
      <c r="P87" s="48" t="inlineStr">
        <is>
          <t>N/A</t>
        </is>
      </c>
      <c r="Q87" s="48" t="inlineStr">
        <is>
          <t>Multi-table derived KPI with controlled formula</t>
        </is>
      </c>
      <c r="R87" s="52" t="inlineStr">
        <is>
          <t>High</t>
        </is>
      </c>
      <c r="S87" s="48" t="inlineStr">
        <is>
          <t>Orbit KPI Tool with predefined metric logic; Mesh may explain results but must not calculate metrics freely</t>
        </is>
      </c>
      <c r="T87" s="48" t="inlineStr">
        <is>
          <t>Not Applicable – Non-Direct Support</t>
        </is>
      </c>
      <c r="U87" s="48" t="n"/>
      <c r="V87" s="48" t="inlineStr">
        <is>
          <t>Complete cost model and currency rules are absent.</t>
        </is>
      </c>
    </row>
    <row r="88" ht="72" customHeight="1" s="38">
      <c r="A88" s="47" t="inlineStr">
        <is>
          <t>Existing – Retained</t>
        </is>
      </c>
      <c r="B88" s="48" t="n">
        <v>101</v>
      </c>
      <c r="C88" s="48" t="inlineStr">
        <is>
          <t>Delivery Head / PM / Risk or Issue Owner</t>
        </is>
      </c>
      <c r="D88" s="48" t="inlineStr">
        <is>
          <t>Medium</t>
        </is>
      </c>
      <c r="E88" s="48" t="inlineStr">
        <is>
          <t>Risks</t>
        </is>
      </c>
      <c r="F88" s="48" t="inlineStr">
        <is>
          <t>Derived Analysis</t>
        </is>
      </c>
      <c r="G88" s="51" t="inlineStr">
        <is>
          <t>Complex</t>
        </is>
      </c>
      <c r="H88" s="48" t="inlineStr">
        <is>
          <t>open_project_risks</t>
        </is>
      </c>
      <c r="I88" s="48" t="inlineStr">
        <is>
          <t>What are the open risks for :project_name?</t>
        </is>
      </c>
      <c r="J88" s="48" t="inlineStr">
        <is>
          <t>Show unresolved risks on :project_name.</t>
        </is>
      </c>
      <c r="K88" s="48" t="inlineStr">
        <is>
          <t>List active project risks.</t>
        </is>
      </c>
      <c r="L88" s="48" t="inlineStr">
        <is>
          <t>project_name</t>
        </is>
      </c>
      <c r="M88" s="48" t="inlineStr">
        <is>
          <t>Support governed management analysis.</t>
        </is>
      </c>
      <c r="N88" s="48" t="inlineStr">
        <is>
          <t>Define open risk statuses.</t>
        </is>
      </c>
      <c r="O88" s="48" t="inlineStr">
        <is>
          <t>tbl_risk; tbl_risk_status</t>
        </is>
      </c>
      <c r="P88" s="48" t="inlineStr">
        <is>
          <t>N/A</t>
        </is>
      </c>
      <c r="Q88" s="48" t="inlineStr">
        <is>
          <t>Governed multi-table query</t>
        </is>
      </c>
      <c r="R88" s="52" t="inlineStr">
        <is>
          <t>High</t>
        </is>
      </c>
      <c r="S88" s="48" t="inlineStr">
        <is>
          <t>Orbit KPI Tool with predefined metric logic; Mesh may explain results but must not calculate metrics freely</t>
        </is>
      </c>
      <c r="T88" s="48" t="inlineStr">
        <is>
          <t>Not Applicable – Non-Direct Support</t>
        </is>
      </c>
      <c r="U88" s="48" t="n"/>
      <c r="V88" s="48" t="inlineStr">
        <is>
          <t>Define open risk statuses.</t>
        </is>
      </c>
    </row>
    <row r="89" ht="72" customHeight="1" s="38">
      <c r="A89" s="47" t="inlineStr">
        <is>
          <t>Existing – Retained</t>
        </is>
      </c>
      <c r="B89" s="48" t="n">
        <v>102</v>
      </c>
      <c r="C89" s="48" t="inlineStr">
        <is>
          <t>Delivery Head / PM / Risk or Issue Owner</t>
        </is>
      </c>
      <c r="D89" s="48" t="inlineStr">
        <is>
          <t>Low</t>
        </is>
      </c>
      <c r="E89" s="48" t="inlineStr">
        <is>
          <t>Risks</t>
        </is>
      </c>
      <c r="F89" s="48" t="inlineStr">
        <is>
          <t>Simple Lookup / Filter</t>
        </is>
      </c>
      <c r="G89" s="47" t="inlineStr">
        <is>
          <t>Simple</t>
        </is>
      </c>
      <c r="H89" s="48" t="inlineStr">
        <is>
          <t>high_priority_risks</t>
        </is>
      </c>
      <c r="I89" s="48" t="inlineStr">
        <is>
          <t>Which risks are high priority?</t>
        </is>
      </c>
      <c r="J89" s="48" t="inlineStr">
        <is>
          <t>Show critical project risks.</t>
        </is>
      </c>
      <c r="K89" s="48" t="inlineStr">
        <is>
          <t>List the highest-priority risks.</t>
        </is>
      </c>
      <c r="L89" s="48" t="inlineStr">
        <is>
          <t>project_scope</t>
        </is>
      </c>
      <c r="M89" s="48" t="inlineStr">
        <is>
          <t>Fast operational lookup and drill-down.</t>
        </is>
      </c>
      <c r="N89" s="48" t="inlineStr">
        <is>
          <t>Direct lookup/filter; no derived KPI.</t>
        </is>
      </c>
      <c r="O89" s="48" t="inlineStr">
        <is>
          <t>tbl_risk.risk_priority_id; tbl_risk_priority</t>
        </is>
      </c>
      <c r="P89" s="48" t="inlineStr">
        <is>
          <t>Data Available</t>
        </is>
      </c>
      <c r="Q89" s="48" t="inlineStr">
        <is>
          <t>Parameterized lookup/filter</t>
        </is>
      </c>
      <c r="R89" s="47" t="inlineStr">
        <is>
          <t>Low</t>
        </is>
      </c>
      <c r="S89" s="48" t="inlineStr">
        <is>
          <t>FAQ Tool Call Binding + parameterized SQL; cache intent/SQL, not live response</t>
        </is>
      </c>
      <c r="T89" s="48" t="inlineStr">
        <is>
          <t>Mapped – Direct Schema</t>
        </is>
      </c>
      <c r="U89" s="48" t="inlineStr">
        <is>
          <t>SELECT r.risk_id, r.reference_no, r.title, p.title AS project_title, rp.priority_name, r.rating, r.rating_color_code, r.target_closure_date, rs.status_name FROM tbl_risk r JOIN tbl_projects p ON p.project_id = r.project_id LEFT JOIN tbl_risk_priority rp ON rp.risk_priority_id = r.risk_priority_id LEFT JOIN tbl_risk_status rs ON rs.status_id = r.status_id WHERE LOWER(rp.priority_name) = 'high' AND r.status = 1 ORDER BY r.rating DESC, r.target_closure_date;</t>
        </is>
      </c>
      <c r="V89" s="48" t="inlineStr">
        <is>
          <t>Lookup values required.</t>
        </is>
      </c>
    </row>
    <row r="90" ht="72" customHeight="1" s="38">
      <c r="A90" s="47" t="inlineStr">
        <is>
          <t>Existing – Retained</t>
        </is>
      </c>
      <c r="B90" s="48" t="n">
        <v>103</v>
      </c>
      <c r="C90" s="48" t="inlineStr">
        <is>
          <t>Delivery Head / PM / Risk or Issue Owner</t>
        </is>
      </c>
      <c r="D90" s="48" t="inlineStr">
        <is>
          <t>Low</t>
        </is>
      </c>
      <c r="E90" s="48" t="inlineStr">
        <is>
          <t>Risks</t>
        </is>
      </c>
      <c r="F90" s="48" t="inlineStr">
        <is>
          <t>Simple Lookup / Filter</t>
        </is>
      </c>
      <c r="G90" s="47" t="inlineStr">
        <is>
          <t>Simple</t>
        </is>
      </c>
      <c r="H90" s="48" t="inlineStr">
        <is>
          <t>risk_details</t>
        </is>
      </c>
      <c r="I90" s="48" t="inlineStr">
        <is>
          <t>Show details of risk :risk_reference.</t>
        </is>
      </c>
      <c r="J90" s="48" t="inlineStr">
        <is>
          <t>Give me the risk record for :risk_reference.</t>
        </is>
      </c>
      <c r="K90" s="48" t="inlineStr">
        <is>
          <t>Open risk :risk_reference.</t>
        </is>
      </c>
      <c r="L90" s="48" t="inlineStr">
        <is>
          <t>risk_reference</t>
        </is>
      </c>
      <c r="M90" s="48" t="inlineStr">
        <is>
          <t>Fast operational lookup and drill-down.</t>
        </is>
      </c>
      <c r="N90" s="48" t="inlineStr">
        <is>
          <t>Direct lookup/filter; no derived KPI.</t>
        </is>
      </c>
      <c r="O90" s="48" t="inlineStr">
        <is>
          <t>tbl_risk</t>
        </is>
      </c>
      <c r="P90" s="48" t="inlineStr">
        <is>
          <t>Data Available</t>
        </is>
      </c>
      <c r="Q90" s="48" t="inlineStr">
        <is>
          <t>Parameterized lookup/filter</t>
        </is>
      </c>
      <c r="R90" s="47" t="inlineStr">
        <is>
          <t>Low</t>
        </is>
      </c>
      <c r="S90" s="48" t="inlineStr">
        <is>
          <t>FAQ Tool Call Binding + parameterized SQL; cache intent/SQL, not live response</t>
        </is>
      </c>
      <c r="T90" s="48" t="inlineStr">
        <is>
          <t>Mapped – Direct Schema</t>
        </is>
      </c>
      <c r="U90" s="48" t="inlineStr">
        <is>
          <t>SELECT r.risk_id, r.reference_no, r.title, r.description, r.cause, r.consequence, r.controls, r.action, p.title AS project_title, pr.probability_name, ri.impact_name, rp.priority_name, r.rating, r.rating_color_code, rs.status_name, r.owner_id, r.target_closure_date, r.revised_target_closure_date, r.date_raised, r.update_date FROM tbl_risk r JOIN tbl_projects p ON p.project_id = r.project_id LEFT JOIN tbl_risk_probability pr ON pr.probability_id = r.probability_id LEFT JOIN tbl_risk_impact ri ON ri.impact_id = r.impact_id LEFT JOIN tbl_risk_priority rp ON rp.risk_priority_id = r.risk_priority_id LEFT JOIN tbl_risk_status rs ON rs.status_id = r.status_id WHERE r.reference_no = :risk_reference AND r.status = 1;</t>
        </is>
      </c>
      <c r="V90" s="48" t="inlineStr">
        <is>
          <t>Use reference_no.</t>
        </is>
      </c>
    </row>
    <row r="91" ht="72" customHeight="1" s="38">
      <c r="A91" s="47" t="inlineStr">
        <is>
          <t>Existing – Retained</t>
        </is>
      </c>
      <c r="B91" s="48" t="n">
        <v>104</v>
      </c>
      <c r="C91" s="48" t="inlineStr">
        <is>
          <t>Delivery Head / PM / Risk or Issue Owner</t>
        </is>
      </c>
      <c r="D91" s="48" t="inlineStr">
        <is>
          <t>Low</t>
        </is>
      </c>
      <c r="E91" s="48" t="inlineStr">
        <is>
          <t>Risks</t>
        </is>
      </c>
      <c r="F91" s="48" t="inlineStr">
        <is>
          <t>Simple Lookup / Filter</t>
        </is>
      </c>
      <c r="G91" s="47" t="inlineStr">
        <is>
          <t>Simple</t>
        </is>
      </c>
      <c r="H91" s="48" t="inlineStr">
        <is>
          <t>risks_by_probability</t>
        </is>
      </c>
      <c r="I91" s="48" t="inlineStr">
        <is>
          <t>Show risks by probability.</t>
        </is>
      </c>
      <c r="J91" s="48" t="inlineStr">
        <is>
          <t>Group active risks by probability rating.</t>
        </is>
      </c>
      <c r="K91" s="48" t="inlineStr">
        <is>
          <t>How many risks are in each probability level?</t>
        </is>
      </c>
      <c r="L91" s="48" t="inlineStr">
        <is>
          <t>project_scope</t>
        </is>
      </c>
      <c r="M91" s="48" t="inlineStr">
        <is>
          <t>Fast operational lookup and drill-down.</t>
        </is>
      </c>
      <c r="N91" s="48" t="inlineStr">
        <is>
          <t>Direct lookup/filter; no derived KPI.</t>
        </is>
      </c>
      <c r="O91" s="48" t="inlineStr">
        <is>
          <t>tbl_risk; tbl_risk_probability</t>
        </is>
      </c>
      <c r="P91" s="48" t="inlineStr">
        <is>
          <t>Data Available</t>
        </is>
      </c>
      <c r="Q91" s="48" t="inlineStr">
        <is>
          <t>Parameterized lookup/filter</t>
        </is>
      </c>
      <c r="R91" s="47" t="inlineStr">
        <is>
          <t>Low</t>
        </is>
      </c>
      <c r="S91" s="48" t="inlineStr">
        <is>
          <t>FAQ Tool Call Binding + parameterized SQL; cache intent/SQL, not live response</t>
        </is>
      </c>
      <c r="T91" s="48" t="inlineStr">
        <is>
          <t>Mapped – Direct Schema</t>
        </is>
      </c>
      <c r="U91" s="48" t="inlineStr">
        <is>
          <t>SELECT pr.probability_id, pr.probability_name, pr.probability_value, COUNT(*) AS risk_count FROM tbl_risk r LEFT JOIN tbl_risk_probability pr ON pr.probability_id = r.probability_id WHERE r.status = 1 GROUP BY pr.probability_id, pr.probability_name, pr.probability_value ORDER BY pr.probability_value DESC;</t>
        </is>
      </c>
      <c r="V91" s="48" t="inlineStr">
        <is>
          <t>Lookup values required.</t>
        </is>
      </c>
    </row>
    <row r="92" ht="72" customHeight="1" s="38">
      <c r="A92" s="47" t="inlineStr">
        <is>
          <t>Existing – Retained</t>
        </is>
      </c>
      <c r="B92" s="48" t="n">
        <v>105</v>
      </c>
      <c r="C92" s="48" t="inlineStr">
        <is>
          <t>Delivery Head / PM / Risk or Issue Owner</t>
        </is>
      </c>
      <c r="D92" s="48" t="inlineStr">
        <is>
          <t>Low</t>
        </is>
      </c>
      <c r="E92" s="48" t="inlineStr">
        <is>
          <t>Risks</t>
        </is>
      </c>
      <c r="F92" s="48" t="inlineStr">
        <is>
          <t>Simple Lookup / Filter</t>
        </is>
      </c>
      <c r="G92" s="47" t="inlineStr">
        <is>
          <t>Simple</t>
        </is>
      </c>
      <c r="H92" s="48" t="inlineStr">
        <is>
          <t>risks_by_impact</t>
        </is>
      </c>
      <c r="I92" s="48" t="inlineStr">
        <is>
          <t>Show risks by impact.</t>
        </is>
      </c>
      <c r="J92" s="48" t="inlineStr">
        <is>
          <t>Group active risks by impact rating.</t>
        </is>
      </c>
      <c r="K92" s="48" t="inlineStr">
        <is>
          <t>How many risks are in each impact level?</t>
        </is>
      </c>
      <c r="L92" s="48" t="inlineStr">
        <is>
          <t>project_scope</t>
        </is>
      </c>
      <c r="M92" s="48" t="inlineStr">
        <is>
          <t>Fast operational lookup and drill-down.</t>
        </is>
      </c>
      <c r="N92" s="48" t="inlineStr">
        <is>
          <t>Direct lookup/filter; no derived KPI.</t>
        </is>
      </c>
      <c r="O92" s="48" t="inlineStr">
        <is>
          <t>tbl_risk; tbl_risk_impact</t>
        </is>
      </c>
      <c r="P92" s="48" t="inlineStr">
        <is>
          <t>Data Available</t>
        </is>
      </c>
      <c r="Q92" s="48" t="inlineStr">
        <is>
          <t>Parameterized lookup/filter</t>
        </is>
      </c>
      <c r="R92" s="47" t="inlineStr">
        <is>
          <t>Low</t>
        </is>
      </c>
      <c r="S92" s="48" t="inlineStr">
        <is>
          <t>FAQ Tool Call Binding + parameterized SQL; cache intent/SQL, not live response</t>
        </is>
      </c>
      <c r="T92" s="48" t="inlineStr">
        <is>
          <t>Mapped – Direct Schema</t>
        </is>
      </c>
      <c r="U92" s="48" t="inlineStr">
        <is>
          <t>SELECT ri.impact_id, ri.impact_name, ri.impact_value, COUNT(*) AS risk_count FROM tbl_risk r LEFT JOIN tbl_risk_impact ri ON ri.impact_id = r.impact_id WHERE r.status = 1 GROUP BY ri.impact_id, ri.impact_name, ri.impact_value ORDER BY ri.impact_value DESC;</t>
        </is>
      </c>
      <c r="V92" s="48" t="inlineStr">
        <is>
          <t>Lookup values required.</t>
        </is>
      </c>
    </row>
    <row r="93" ht="72" customHeight="1" s="38">
      <c r="A93" s="47" t="inlineStr">
        <is>
          <t>Existing – Retained</t>
        </is>
      </c>
      <c r="B93" s="48" t="n">
        <v>106</v>
      </c>
      <c r="C93" s="48" t="inlineStr">
        <is>
          <t>Delivery Head / PM / Risk or Issue Owner</t>
        </is>
      </c>
      <c r="D93" s="48" t="inlineStr">
        <is>
          <t>Medium</t>
        </is>
      </c>
      <c r="E93" s="48" t="inlineStr">
        <is>
          <t>Risks</t>
        </is>
      </c>
      <c r="F93" s="48" t="inlineStr">
        <is>
          <t>Exception / Diagnostic</t>
        </is>
      </c>
      <c r="G93" s="49" t="inlineStr">
        <is>
          <t>Moderate</t>
        </is>
      </c>
      <c r="H93" s="48" t="inlineStr">
        <is>
          <t>risks_without_owner</t>
        </is>
      </c>
      <c r="I93" s="48" t="inlineStr">
        <is>
          <t>Which risks have no owner?</t>
        </is>
      </c>
      <c r="J93" s="48" t="inlineStr">
        <is>
          <t>Show unassigned risks.</t>
        </is>
      </c>
      <c r="K93" s="48" t="inlineStr">
        <is>
          <t>List risks without responsibility.</t>
        </is>
      </c>
      <c r="L93" s="48" t="inlineStr">
        <is>
          <t>project_scope</t>
        </is>
      </c>
      <c r="M93" s="48" t="inlineStr">
        <is>
          <t>Identify exceptions requiring owner action.</t>
        </is>
      </c>
      <c r="N93" s="48" t="inlineStr">
        <is>
          <t>Confirm owner_id versus responsibility.</t>
        </is>
      </c>
      <c r="O93" s="48" t="inlineStr">
        <is>
          <t>tbl_risk.owner_id/responsibility</t>
        </is>
      </c>
      <c r="P93" s="48" t="inlineStr">
        <is>
          <t>Data Available</t>
        </is>
      </c>
      <c r="Q93" s="48" t="inlineStr">
        <is>
          <t>Exception query with joins and threshold filters</t>
        </is>
      </c>
      <c r="R93" s="50" t="inlineStr">
        <is>
          <t>Medium</t>
        </is>
      </c>
      <c r="S93" s="48" t="inlineStr">
        <is>
          <t>FAQ/NL2SQL cached template or Orbit aggregation tool; execute on live data</t>
        </is>
      </c>
      <c r="T93" s="48" t="inlineStr">
        <is>
          <t>Mapped – Direct Schema</t>
        </is>
      </c>
      <c r="U93" s="48" t="inlineStr">
        <is>
          <t>SELECT r.risk_id, r.reference_no, r.title, p.title AS project_title, r.owner_id, r.responsibility, r.target_closure_date FROM tbl_risk r JOIN tbl_projects p ON p.project_id = r.project_id WHERE (r.owner_id = 0 OR r.owner_id IS NULL) AND r.status = 1 ORDER BY r.target_closure_date, r.reference_no;</t>
        </is>
      </c>
      <c r="V93" s="48" t="inlineStr">
        <is>
          <t>Confirm owner_id versus responsibility.</t>
        </is>
      </c>
    </row>
    <row r="94" ht="72" customHeight="1" s="38">
      <c r="A94" s="47" t="inlineStr">
        <is>
          <t>Existing – Retained</t>
        </is>
      </c>
      <c r="B94" s="48" t="n">
        <v>107</v>
      </c>
      <c r="C94" s="48" t="inlineStr">
        <is>
          <t>Delivery Head / PM / Risk or Issue Owner</t>
        </is>
      </c>
      <c r="D94" s="48" t="inlineStr">
        <is>
          <t>Medium</t>
        </is>
      </c>
      <c r="E94" s="48" t="inlineStr">
        <is>
          <t>Risks</t>
        </is>
      </c>
      <c r="F94" s="48" t="inlineStr">
        <is>
          <t>Derived Analysis</t>
        </is>
      </c>
      <c r="G94" s="52" t="inlineStr">
        <is>
          <t>Very Complex</t>
        </is>
      </c>
      <c r="H94" s="48" t="inlineStr">
        <is>
          <t>risk_actions_due</t>
        </is>
      </c>
      <c r="I94" s="48" t="inlineStr">
        <is>
          <t>Which risk actions are due by :date?</t>
        </is>
      </c>
      <c r="J94" s="48" t="inlineStr">
        <is>
          <t>Show mitigation work due soon.</t>
        </is>
      </c>
      <c r="K94" s="48" t="inlineStr">
        <is>
          <t>List risk actions approaching target closure.</t>
        </is>
      </c>
      <c r="L94" s="48" t="inlineStr">
        <is>
          <t>date</t>
        </is>
      </c>
      <c r="M94" s="48" t="inlineStr">
        <is>
          <t>Support governed management analysis.</t>
        </is>
      </c>
      <c r="N94" s="48" t="inlineStr">
        <is>
          <t>Mitigation actions table lacks explicit due date.</t>
        </is>
      </c>
      <c r="O94" s="48" t="inlineStr">
        <is>
          <t>tbl_risk.target_closure_date; mitigation plans</t>
        </is>
      </c>
      <c r="P94" s="48" t="inlineStr">
        <is>
          <t>N/A</t>
        </is>
      </c>
      <c r="Q94" s="48" t="inlineStr">
        <is>
          <t>Governed multi-table query</t>
        </is>
      </c>
      <c r="R94" s="52" t="inlineStr">
        <is>
          <t>High</t>
        </is>
      </c>
      <c r="S94" s="48" t="inlineStr">
        <is>
          <t>Orbit KPI Tool with predefined metric logic; Mesh may explain results but must not calculate metrics freely</t>
        </is>
      </c>
      <c r="T94" s="48" t="inlineStr">
        <is>
          <t>Not Applicable – Non-Direct Support</t>
        </is>
      </c>
      <c r="U94" s="48" t="n"/>
      <c r="V94" s="48" t="inlineStr">
        <is>
          <t>Mitigation actions table lacks explicit due date.</t>
        </is>
      </c>
    </row>
    <row r="95" ht="72" customHeight="1" s="38">
      <c r="A95" s="47" t="inlineStr">
        <is>
          <t>Existing – Retained</t>
        </is>
      </c>
      <c r="B95" s="48" t="n">
        <v>108</v>
      </c>
      <c r="C95" s="48" t="inlineStr">
        <is>
          <t>Delivery Head / PM / Risk or Issue Owner</t>
        </is>
      </c>
      <c r="D95" s="48" t="inlineStr">
        <is>
          <t>Medium</t>
        </is>
      </c>
      <c r="E95" s="48" t="inlineStr">
        <is>
          <t>Risks</t>
        </is>
      </c>
      <c r="F95" s="48" t="inlineStr">
        <is>
          <t>Exception / Diagnostic</t>
        </is>
      </c>
      <c r="G95" s="51" t="inlineStr">
        <is>
          <t>Complex</t>
        </is>
      </c>
      <c r="H95" s="48" t="inlineStr">
        <is>
          <t>overdue_risks</t>
        </is>
      </c>
      <c r="I95" s="48" t="inlineStr">
        <is>
          <t>Which open risks are past their target closure date?</t>
        </is>
      </c>
      <c r="J95" s="48" t="inlineStr">
        <is>
          <t>Show overdue unresolved risks.</t>
        </is>
      </c>
      <c r="K95" s="48" t="inlineStr">
        <is>
          <t>List risks missing target closure.</t>
        </is>
      </c>
      <c r="L95" s="48" t="inlineStr">
        <is>
          <t>as_of_date</t>
        </is>
      </c>
      <c r="M95" s="48" t="inlineStr">
        <is>
          <t>Identify exceptions requiring owner action.</t>
        </is>
      </c>
      <c r="N95" s="48" t="inlineStr">
        <is>
          <t>Define closed statuses and revised date precedence.</t>
        </is>
      </c>
      <c r="O95" s="48" t="inlineStr">
        <is>
          <t>tbl_risk; risk status</t>
        </is>
      </c>
      <c r="P95" s="48" t="inlineStr">
        <is>
          <t>N/A</t>
        </is>
      </c>
      <c r="Q95" s="48" t="inlineStr">
        <is>
          <t>Exception query with joins and threshold filters</t>
        </is>
      </c>
      <c r="R95" s="52" t="inlineStr">
        <is>
          <t>High</t>
        </is>
      </c>
      <c r="S95" s="48" t="inlineStr">
        <is>
          <t>Orbit KPI Tool with predefined metric logic; Mesh may explain results but must not calculate metrics freely</t>
        </is>
      </c>
      <c r="T95" s="48" t="inlineStr">
        <is>
          <t>Not Applicable – Non-Direct Support</t>
        </is>
      </c>
      <c r="U95" s="48" t="n"/>
      <c r="V95" s="48" t="inlineStr">
        <is>
          <t>Define closed statuses and revised date precedence.</t>
        </is>
      </c>
    </row>
    <row r="96" ht="72" customHeight="1" s="38">
      <c r="A96" s="47" t="inlineStr">
        <is>
          <t>Existing – Reworked with Populated Alternative</t>
        </is>
      </c>
      <c r="B96" s="48" t="n">
        <v>109</v>
      </c>
      <c r="C96" s="48" t="inlineStr">
        <is>
          <t>Delivery Head / PM / Risk or Issue Owner</t>
        </is>
      </c>
      <c r="D96" s="48" t="inlineStr">
        <is>
          <t>Medium</t>
        </is>
      </c>
      <c r="E96" s="48" t="inlineStr">
        <is>
          <t>Risks</t>
        </is>
      </c>
      <c r="F96" s="48" t="inlineStr">
        <is>
          <t>Trend / Change Analysis</t>
        </is>
      </c>
      <c r="G96" s="49" t="inlineStr">
        <is>
          <t>Moderate</t>
        </is>
      </c>
      <c r="H96" s="48" t="inlineStr">
        <is>
          <t>risk_history</t>
        </is>
      </c>
      <c r="I96" s="48" t="inlineStr">
        <is>
          <t>Show the recorded history of risk :risk_reference.</t>
        </is>
      </c>
      <c r="J96" s="48" t="inlineStr">
        <is>
          <t>How has risk :risk_reference changed over time?</t>
        </is>
      </c>
      <c r="K96" s="48" t="inlineStr">
        <is>
          <t>Show status, probability, and impact history for :risk_reference.</t>
        </is>
      </c>
      <c r="L96" s="48" t="inlineStr">
        <is>
          <t>risk_reference</t>
        </is>
      </c>
      <c r="M96" s="48" t="inlineStr">
        <is>
          <t>Detect deterioration or improvement over time.</t>
        </is>
      </c>
      <c r="N96" s="48" t="inlineStr">
        <is>
          <t>Use populated tbl_risk_history instead of empty tbl_risk_update.</t>
        </is>
      </c>
      <c r="O96" s="48" t="inlineStr">
        <is>
          <t>tbl_risk; tbl_risk_history; tbl_risk_status; tbl_risk_probability; tbl_risk_impact; tbl_users</t>
        </is>
      </c>
      <c r="P96" s="48" t="inlineStr">
        <is>
          <t>Available – Alternative History Table</t>
        </is>
      </c>
      <c r="Q96" s="48" t="inlineStr">
        <is>
          <t>Time-series aggregation across populated history/date fields</t>
        </is>
      </c>
      <c r="R96" s="50" t="inlineStr">
        <is>
          <t>Medium</t>
        </is>
      </c>
      <c r="S96" s="48" t="inlineStr">
        <is>
          <t>FAQ/NL2SQL cached template or Orbit aggregation tool; execute on live data</t>
        </is>
      </c>
      <c r="T96" s="48" t="inlineStr">
        <is>
          <t>Mapped – Populated Alternative</t>
        </is>
      </c>
      <c r="U96" s="48" t="inlineStr">
        <is>
          <t>SELECT r.reference_no, rh.post_date, rs.status_name, rp.probability_name, ri.impact_name, u.username AS changed_by FROM tbl_risk r JOIN tbl_risk_history rh ON rh.risk_id = r.risk_id LEFT JOIN tbl_risk_status rs ON rs.status_id = rh.status_id LEFT JOIN tbl_risk_probability rp ON rp.probability_id = rh.probability_id LEFT JOIN tbl_risk_impact ri ON ri.impact_id = rh.impact_id LEFT JOIN tbl_users u ON u.user_id = rh.user_id WHERE r.reference_no = :risk_reference ORDER BY rh.post_date DESC;</t>
        </is>
      </c>
      <c r="V96" s="48" t="inlineStr">
        <is>
          <t>Use populated tbl_risk_history instead of empty tbl_risk_update. Recovered from empty-table dependency.</t>
        </is>
      </c>
    </row>
    <row r="97" ht="72" customHeight="1" s="38">
      <c r="A97" s="47" t="inlineStr">
        <is>
          <t>Existing – Retained</t>
        </is>
      </c>
      <c r="B97" s="48" t="n">
        <v>110</v>
      </c>
      <c r="C97" s="48" t="inlineStr">
        <is>
          <t>Delivery Head / PM / Risk or Issue Owner</t>
        </is>
      </c>
      <c r="D97" s="48" t="inlineStr">
        <is>
          <t>Medium</t>
        </is>
      </c>
      <c r="E97" s="48" t="inlineStr">
        <is>
          <t>Risks</t>
        </is>
      </c>
      <c r="F97" s="48" t="inlineStr">
        <is>
          <t>Trend / Change Analysis</t>
        </is>
      </c>
      <c r="G97" s="51" t="inlineStr">
        <is>
          <t>Complex</t>
        </is>
      </c>
      <c r="H97" s="48" t="inlineStr">
        <is>
          <t>risk_trend</t>
        </is>
      </c>
      <c r="I97" s="48" t="inlineStr">
        <is>
          <t>Show risk creation and closure trend for the last :months months.</t>
        </is>
      </c>
      <c r="J97" s="48" t="inlineStr">
        <is>
          <t>How are open risks trending?</t>
        </is>
      </c>
      <c r="K97" s="48" t="inlineStr">
        <is>
          <t>Give monthly risk movement.</t>
        </is>
      </c>
      <c r="L97" s="48" t="inlineStr">
        <is>
          <t>months</t>
        </is>
      </c>
      <c r="M97" s="48" t="inlineStr">
        <is>
          <t>Detect deterioration or improvement over time.</t>
        </is>
      </c>
      <c r="N97" s="48" t="inlineStr">
        <is>
          <t>Clarify point-in-time open count versus event counts.</t>
        </is>
      </c>
      <c r="O97" s="48" t="inlineStr">
        <is>
          <t>tbl_risk.date_raised/date_closed</t>
        </is>
      </c>
      <c r="P97" s="48" t="inlineStr">
        <is>
          <t>N/A</t>
        </is>
      </c>
      <c r="Q97" s="48" t="inlineStr">
        <is>
          <t>Time-series aggregation across populated history/date fields</t>
        </is>
      </c>
      <c r="R97" s="52" t="inlineStr">
        <is>
          <t>High</t>
        </is>
      </c>
      <c r="S97" s="48" t="inlineStr">
        <is>
          <t>Orbit KPI Tool with predefined metric logic; Mesh may explain results but must not calculate metrics freely</t>
        </is>
      </c>
      <c r="T97" s="48" t="inlineStr">
        <is>
          <t>Not Applicable – Non-Direct Support</t>
        </is>
      </c>
      <c r="U97" s="48" t="n"/>
      <c r="V97" s="48" t="inlineStr">
        <is>
          <t>Clarify point-in-time open count versus event counts.</t>
        </is>
      </c>
    </row>
    <row r="98" ht="72" customHeight="1" s="38">
      <c r="A98" s="47" t="inlineStr">
        <is>
          <t>Existing – Retained</t>
        </is>
      </c>
      <c r="B98" s="48" t="n">
        <v>111</v>
      </c>
      <c r="C98" s="48" t="inlineStr">
        <is>
          <t>Delivery Head / PM / Risk or Issue Owner</t>
        </is>
      </c>
      <c r="D98" s="48" t="inlineStr">
        <is>
          <t>Medium</t>
        </is>
      </c>
      <c r="E98" s="48" t="inlineStr">
        <is>
          <t>Issues &amp; Reporting</t>
        </is>
      </c>
      <c r="F98" s="48" t="inlineStr">
        <is>
          <t>Derived Analysis</t>
        </is>
      </c>
      <c r="G98" s="51" t="inlineStr">
        <is>
          <t>Complex</t>
        </is>
      </c>
      <c r="H98" s="48" t="inlineStr">
        <is>
          <t>open_project_issues</t>
        </is>
      </c>
      <c r="I98" s="48" t="inlineStr">
        <is>
          <t>What are the open issues for :project_name?</t>
        </is>
      </c>
      <c r="J98" s="48" t="inlineStr">
        <is>
          <t>Show unresolved issues on :project_name.</t>
        </is>
      </c>
      <c r="K98" s="48" t="inlineStr">
        <is>
          <t>List active project issues.</t>
        </is>
      </c>
      <c r="L98" s="48" t="inlineStr">
        <is>
          <t>project_name</t>
        </is>
      </c>
      <c r="M98" s="48" t="inlineStr">
        <is>
          <t>Support governed management analysis.</t>
        </is>
      </c>
      <c r="N98" s="48" t="inlineStr">
        <is>
          <t>Define open issue statuses.</t>
        </is>
      </c>
      <c r="O98" s="48" t="inlineStr">
        <is>
          <t>tbl_project_issues; issue status</t>
        </is>
      </c>
      <c r="P98" s="48" t="inlineStr">
        <is>
          <t>N/A</t>
        </is>
      </c>
      <c r="Q98" s="48" t="inlineStr">
        <is>
          <t>Governed multi-table query</t>
        </is>
      </c>
      <c r="R98" s="52" t="inlineStr">
        <is>
          <t>High</t>
        </is>
      </c>
      <c r="S98" s="48" t="inlineStr">
        <is>
          <t>Orbit KPI Tool with predefined metric logic; Mesh may explain results but must not calculate metrics freely</t>
        </is>
      </c>
      <c r="T98" s="48" t="inlineStr">
        <is>
          <t>Not Applicable – Non-Direct Support</t>
        </is>
      </c>
      <c r="U98" s="48" t="n"/>
      <c r="V98" s="48" t="inlineStr">
        <is>
          <t>Define open issue statuses.</t>
        </is>
      </c>
    </row>
    <row r="99" ht="72" customHeight="1" s="38">
      <c r="A99" s="47" t="inlineStr">
        <is>
          <t>Existing – Retained</t>
        </is>
      </c>
      <c r="B99" s="48" t="n">
        <v>112</v>
      </c>
      <c r="C99" s="48" t="inlineStr">
        <is>
          <t>Delivery Head / PM / Risk or Issue Owner</t>
        </is>
      </c>
      <c r="D99" s="48" t="inlineStr">
        <is>
          <t>Low</t>
        </is>
      </c>
      <c r="E99" s="48" t="inlineStr">
        <is>
          <t>Issues &amp; Reporting</t>
        </is>
      </c>
      <c r="F99" s="48" t="inlineStr">
        <is>
          <t>Simple Lookup / Filter</t>
        </is>
      </c>
      <c r="G99" s="47" t="inlineStr">
        <is>
          <t>Simple</t>
        </is>
      </c>
      <c r="H99" s="48" t="inlineStr">
        <is>
          <t>issue_details</t>
        </is>
      </c>
      <c r="I99" s="48" t="inlineStr">
        <is>
          <t>Show details of issue :issue_reference.</t>
        </is>
      </c>
      <c r="J99" s="48" t="inlineStr">
        <is>
          <t>Give me the issue record for :issue_reference.</t>
        </is>
      </c>
      <c r="K99" s="48" t="inlineStr">
        <is>
          <t>Open issue :issue_reference.</t>
        </is>
      </c>
      <c r="L99" s="48" t="inlineStr">
        <is>
          <t>issue_reference</t>
        </is>
      </c>
      <c r="M99" s="48" t="inlineStr">
        <is>
          <t>Fast operational lookup and drill-down.</t>
        </is>
      </c>
      <c r="N99" s="48" t="inlineStr">
        <is>
          <t>Direct lookup/filter; no derived KPI.</t>
        </is>
      </c>
      <c r="O99" s="48" t="inlineStr">
        <is>
          <t>tbl_project_issues</t>
        </is>
      </c>
      <c r="P99" s="48" t="inlineStr">
        <is>
          <t>Data Available</t>
        </is>
      </c>
      <c r="Q99" s="48" t="inlineStr">
        <is>
          <t>Parameterized lookup/filter</t>
        </is>
      </c>
      <c r="R99" s="47" t="inlineStr">
        <is>
          <t>Low</t>
        </is>
      </c>
      <c r="S99" s="48" t="inlineStr">
        <is>
          <t>FAQ Tool Call Binding + parameterized SQL; cache intent/SQL, not live response</t>
        </is>
      </c>
      <c r="T99" s="48" t="inlineStr">
        <is>
          <t>Mapped – Direct Schema</t>
        </is>
      </c>
      <c r="U99" s="48" t="inlineStr">
        <is>
          <t>SELECT i.issue_id, i.reference_no, i.title, i.description, p.title AS project_title, i.user_id AS raised_by_user_id, i.date_raised, i.date_closed, i.issue_status_id, s.status_name, i.severity, i.priority, i.impact, i.planned_closure_date, i.overdue_status, i.update_date FROM tbl_project_issues i JOIN tbl_projects p ON p.project_id = i.project_id LEFT JOIN tbl_project_issue_status s ON s.issue_status_id = i.issue_status_id WHERE i.reference_no = :issue_reference AND i.status = 1;</t>
        </is>
      </c>
      <c r="V99" s="48" t="inlineStr">
        <is>
          <t>Use reference_no.</t>
        </is>
      </c>
    </row>
    <row r="100" ht="72" customHeight="1" s="38">
      <c r="A100" s="47" t="inlineStr">
        <is>
          <t>Existing – Retained</t>
        </is>
      </c>
      <c r="B100" s="48" t="n">
        <v>113</v>
      </c>
      <c r="C100" s="48" t="inlineStr">
        <is>
          <t>Delivery Head / PM / Risk or Issue Owner</t>
        </is>
      </c>
      <c r="D100" s="48" t="inlineStr">
        <is>
          <t>Medium</t>
        </is>
      </c>
      <c r="E100" s="48" t="inlineStr">
        <is>
          <t>Issues &amp; Reporting</t>
        </is>
      </c>
      <c r="F100" s="48" t="inlineStr">
        <is>
          <t>Simple Lookup / Filter</t>
        </is>
      </c>
      <c r="G100" s="49" t="inlineStr">
        <is>
          <t>Moderate</t>
        </is>
      </c>
      <c r="H100" s="48" t="inlineStr">
        <is>
          <t>high_severity_issues</t>
        </is>
      </c>
      <c r="I100" s="48" t="inlineStr">
        <is>
          <t>Which issues have high severity?</t>
        </is>
      </c>
      <c r="J100" s="48" t="inlineStr">
        <is>
          <t>Show critical defects or issues.</t>
        </is>
      </c>
      <c r="K100" s="48" t="inlineStr">
        <is>
          <t>List high-severity open issues.</t>
        </is>
      </c>
      <c r="L100" s="48" t="inlineStr">
        <is>
          <t>project_scope</t>
        </is>
      </c>
      <c r="M100" s="48" t="inlineStr">
        <is>
          <t>Fast operational lookup and drill-down.</t>
        </is>
      </c>
      <c r="N100" s="48" t="inlineStr">
        <is>
          <t>Direct lookup/filter; no derived KPI.</t>
        </is>
      </c>
      <c r="O100" s="48" t="inlineStr">
        <is>
          <t>tbl_project_issues.severity</t>
        </is>
      </c>
      <c r="P100" s="48" t="inlineStr">
        <is>
          <t>N/A</t>
        </is>
      </c>
      <c r="Q100" s="48" t="inlineStr">
        <is>
          <t>Parameterized lookup/filter</t>
        </is>
      </c>
      <c r="R100" s="50" t="inlineStr">
        <is>
          <t>Medium</t>
        </is>
      </c>
      <c r="S100" s="48" t="inlineStr">
        <is>
          <t>FAQ/NL2SQL cached template or Orbit aggregation tool; execute on live data</t>
        </is>
      </c>
      <c r="T100" s="48" t="inlineStr">
        <is>
          <t>Not Mapped – Lookup Values Required</t>
        </is>
      </c>
      <c r="U100" s="48" t="n"/>
      <c r="V100" s="48" t="inlineStr">
        <is>
          <t>Severity values are not supplied.</t>
        </is>
      </c>
    </row>
    <row r="101" ht="72" customHeight="1" s="38">
      <c r="A101" s="47" t="inlineStr">
        <is>
          <t>Existing – Retained</t>
        </is>
      </c>
      <c r="B101" s="48" t="n">
        <v>114</v>
      </c>
      <c r="C101" s="48" t="inlineStr">
        <is>
          <t>Delivery Head / PM / Risk or Issue Owner</t>
        </is>
      </c>
      <c r="D101" s="48" t="inlineStr">
        <is>
          <t>Medium</t>
        </is>
      </c>
      <c r="E101" s="48" t="inlineStr">
        <is>
          <t>Issues &amp; Reporting</t>
        </is>
      </c>
      <c r="F101" s="48" t="inlineStr">
        <is>
          <t>Exception / Diagnostic</t>
        </is>
      </c>
      <c r="G101" s="51" t="inlineStr">
        <is>
          <t>Complex</t>
        </is>
      </c>
      <c r="H101" s="48" t="inlineStr">
        <is>
          <t>overdue_issues</t>
        </is>
      </c>
      <c r="I101" s="48" t="inlineStr">
        <is>
          <t>Which open issues are overdue?</t>
        </is>
      </c>
      <c r="J101" s="48" t="inlineStr">
        <is>
          <t>Show issues past planned closure date.</t>
        </is>
      </c>
      <c r="K101" s="48" t="inlineStr">
        <is>
          <t>List delayed unresolved issues.</t>
        </is>
      </c>
      <c r="L101" s="48" t="inlineStr">
        <is>
          <t>as_of_date</t>
        </is>
      </c>
      <c r="M101" s="48" t="inlineStr">
        <is>
          <t>Identify exceptions requiring owner action.</t>
        </is>
      </c>
      <c r="N101" s="48" t="inlineStr">
        <is>
          <t>Define open statuses and revised dates if any.</t>
        </is>
      </c>
      <c r="O101" s="48" t="inlineStr">
        <is>
          <t>tbl_project_issues.planned_closure_date; issue status</t>
        </is>
      </c>
      <c r="P101" s="48" t="inlineStr">
        <is>
          <t>N/A</t>
        </is>
      </c>
      <c r="Q101" s="48" t="inlineStr">
        <is>
          <t>Exception query with joins and threshold filters</t>
        </is>
      </c>
      <c r="R101" s="52" t="inlineStr">
        <is>
          <t>High</t>
        </is>
      </c>
      <c r="S101" s="48" t="inlineStr">
        <is>
          <t>Orbit KPI Tool with predefined metric logic; Mesh may explain results but must not calculate metrics freely</t>
        </is>
      </c>
      <c r="T101" s="48" t="inlineStr">
        <is>
          <t>Not Applicable – Non-Direct Support</t>
        </is>
      </c>
      <c r="U101" s="48" t="n"/>
      <c r="V101" s="48" t="inlineStr">
        <is>
          <t>Define open statuses and revised dates if any.</t>
        </is>
      </c>
    </row>
    <row r="102" ht="72" customHeight="1" s="38">
      <c r="A102" s="47" t="inlineStr">
        <is>
          <t>Existing – Retained</t>
        </is>
      </c>
      <c r="B102" s="48" t="n">
        <v>115</v>
      </c>
      <c r="C102" s="48" t="inlineStr">
        <is>
          <t>Delivery Head / PM / Risk or Issue Owner</t>
        </is>
      </c>
      <c r="D102" s="51" t="inlineStr">
        <is>
          <t>High</t>
        </is>
      </c>
      <c r="E102" s="48" t="inlineStr">
        <is>
          <t>Issues &amp; Reporting</t>
        </is>
      </c>
      <c r="F102" s="48" t="inlineStr">
        <is>
          <t>Aggregation / Dashboard KPI</t>
        </is>
      </c>
      <c r="G102" s="49" t="inlineStr">
        <is>
          <t>Moderate</t>
        </is>
      </c>
      <c r="H102" s="48" t="inlineStr">
        <is>
          <t>issues_by_status</t>
        </is>
      </c>
      <c r="I102" s="48" t="inlineStr">
        <is>
          <t>Show issue counts by status for :project_name.</t>
        </is>
      </c>
      <c r="J102" s="48" t="inlineStr">
        <is>
          <t>Summarize issues by workflow status.</t>
        </is>
      </c>
      <c r="K102" s="48" t="inlineStr">
        <is>
          <t>How many issues are in each status?</t>
        </is>
      </c>
      <c r="L102" s="48" t="inlineStr">
        <is>
          <t>project_name</t>
        </is>
      </c>
      <c r="M102" s="48" t="inlineStr">
        <is>
          <t>Provide a reusable dashboard metric for monitoring.</t>
        </is>
      </c>
      <c r="N102" s="48" t="inlineStr">
        <is>
          <t>Lookup values required.</t>
        </is>
      </c>
      <c r="O102" s="48" t="inlineStr">
        <is>
          <t>project issues; issue status</t>
        </is>
      </c>
      <c r="P102" s="48" t="inlineStr">
        <is>
          <t>Data Available</t>
        </is>
      </c>
      <c r="Q102" s="48" t="inlineStr">
        <is>
          <t>Predefined aggregation / grouped KPI query</t>
        </is>
      </c>
      <c r="R102" s="50" t="inlineStr">
        <is>
          <t>Medium</t>
        </is>
      </c>
      <c r="S102" s="48" t="inlineStr">
        <is>
          <t>FAQ/NL2SQL cached template or Orbit aggregation tool; execute on live data</t>
        </is>
      </c>
      <c r="T102" s="48" t="inlineStr">
        <is>
          <t>Mapped – Direct Schema</t>
        </is>
      </c>
      <c r="U102" s="48" t="inlineStr">
        <is>
          <t>SELECT s.issue_status_id, s.status_name, s.status_type, COUNT(*) AS issue_count FROM tbl_project_issues i JOIN tbl_projects p ON p.project_id = i.project_id LEFT JOIN tbl_project_issue_status s ON s.issue_status_id = i.issue_status_id WHERE p.title = :project_name AND i.status = 1 GROUP BY s.issue_status_id, s.status_name, s.status_type ORDER BY s.status_order, s.status_name;</t>
        </is>
      </c>
      <c r="V102" s="48" t="inlineStr">
        <is>
          <t>Lookup values required.</t>
        </is>
      </c>
    </row>
    <row r="103" ht="72" customHeight="1" s="38">
      <c r="A103" s="47" t="inlineStr">
        <is>
          <t>Existing – Retained</t>
        </is>
      </c>
      <c r="B103" s="48" t="n">
        <v>116</v>
      </c>
      <c r="C103" s="48" t="inlineStr">
        <is>
          <t>Delivery Head / PM / Risk or Issue Owner</t>
        </is>
      </c>
      <c r="D103" s="48" t="inlineStr">
        <is>
          <t>Medium</t>
        </is>
      </c>
      <c r="E103" s="48" t="inlineStr">
        <is>
          <t>Issues &amp; Reporting</t>
        </is>
      </c>
      <c r="F103" s="48" t="inlineStr">
        <is>
          <t>Derived Analysis</t>
        </is>
      </c>
      <c r="G103" s="52" t="inlineStr">
        <is>
          <t>Very Complex</t>
        </is>
      </c>
      <c r="H103" s="48" t="inlineStr">
        <is>
          <t>issues_by_assignee</t>
        </is>
      </c>
      <c r="I103" s="48" t="inlineStr">
        <is>
          <t>Show issues assigned to :employee_name.</t>
        </is>
      </c>
      <c r="J103" s="48" t="inlineStr">
        <is>
          <t>List :employee_name’s project issues.</t>
        </is>
      </c>
      <c r="K103" s="48" t="inlineStr">
        <is>
          <t>What issues is :employee_name responsible for?</t>
        </is>
      </c>
      <c r="L103" s="48" t="inlineStr">
        <is>
          <t>employee_name</t>
        </is>
      </c>
      <c r="M103" s="48" t="inlineStr">
        <is>
          <t>Support governed management analysis.</t>
        </is>
      </c>
      <c r="N103" s="48" t="inlineStr">
        <is>
          <t>Confirm primary owner versus additional users.</t>
        </is>
      </c>
      <c r="O103" s="48" t="inlineStr">
        <is>
          <t>tbl_project_issue_users; tbl_project_issues.user_id</t>
        </is>
      </c>
      <c r="P103" s="48" t="inlineStr">
        <is>
          <t>N/A</t>
        </is>
      </c>
      <c r="Q103" s="48" t="inlineStr">
        <is>
          <t>Governed multi-table query</t>
        </is>
      </c>
      <c r="R103" s="52" t="inlineStr">
        <is>
          <t>High</t>
        </is>
      </c>
      <c r="S103" s="48" t="inlineStr">
        <is>
          <t>Orbit KPI Tool with predefined metric logic; Mesh may explain results but must not calculate metrics freely</t>
        </is>
      </c>
      <c r="T103" s="48" t="inlineStr">
        <is>
          <t>Not Applicable – Non-Direct Support</t>
        </is>
      </c>
      <c r="U103" s="48" t="n"/>
      <c r="V103" s="48" t="inlineStr">
        <is>
          <t>Confirm primary owner versus additional users.</t>
        </is>
      </c>
    </row>
    <row r="104" ht="72" customHeight="1" s="38">
      <c r="A104" s="47" t="inlineStr">
        <is>
          <t>Existing – Reworked with Populated Alternative</t>
        </is>
      </c>
      <c r="B104" s="48" t="n">
        <v>117</v>
      </c>
      <c r="C104" s="48" t="inlineStr">
        <is>
          <t>Delivery Head / PM / Risk or Issue Owner</t>
        </is>
      </c>
      <c r="D104" s="51" t="inlineStr">
        <is>
          <t>High</t>
        </is>
      </c>
      <c r="E104" s="48" t="inlineStr">
        <is>
          <t>Issues &amp; Reporting</t>
        </is>
      </c>
      <c r="F104" s="48" t="inlineStr">
        <is>
          <t>Aggregation / Dashboard KPI</t>
        </is>
      </c>
      <c r="G104" s="51" t="inlineStr">
        <is>
          <t>Complex</t>
        </is>
      </c>
      <c r="H104" s="48" t="inlineStr">
        <is>
          <t>dynamic_weekly_task_summary</t>
        </is>
      </c>
      <c r="I104" s="48" t="inlineStr">
        <is>
          <t>Generate a live weekly task summary for :project_name.</t>
        </is>
      </c>
      <c r="J104" s="48" t="inlineStr">
        <is>
          <t>Summarise task activity for :project_name between :week_start and :week_end.</t>
        </is>
      </c>
      <c r="K104" s="48" t="inlineStr">
        <is>
          <t>Show this week’s task KPIs for :project_name.</t>
        </is>
      </c>
      <c r="L104" s="48" t="inlineStr">
        <is>
          <t>project_identifier; week_start; week_end</t>
        </is>
      </c>
      <c r="M104" s="48" t="inlineStr">
        <is>
          <t>Provide a reusable dashboard metric for monitoring.</t>
        </is>
      </c>
      <c r="N104" s="48" t="inlineStr">
        <is>
          <t>Replace the empty weekly snapshot table with a live aggregation. Confirm whether the weekly scope uses due date, update date, timesheet date, or all three.</t>
        </is>
      </c>
      <c r="O104" s="48" t="inlineStr">
        <is>
          <t>tbl_projects; tbl_project_tasks; tbl_project_task_status; tbl_project_task_users; tbl_timesheets</t>
        </is>
      </c>
      <c r="P104" s="48" t="inlineStr">
        <is>
          <t>Available – Live Aggregation</t>
        </is>
      </c>
      <c r="Q104" s="48" t="inlineStr">
        <is>
          <t>Predefined aggregation / grouped KPI query</t>
        </is>
      </c>
      <c r="R104" s="52" t="inlineStr">
        <is>
          <t>High</t>
        </is>
      </c>
      <c r="S104" s="48" t="inlineStr">
        <is>
          <t>Orbit KPI Tool with predefined metric logic; Mesh may explain results but must not calculate metrics freely</t>
        </is>
      </c>
      <c r="T104" s="48" t="inlineStr">
        <is>
          <t>Pending – Weekly Scope Rule</t>
        </is>
      </c>
      <c r="U104" s="48" t="n"/>
      <c r="V104" s="48" t="inlineStr">
        <is>
          <t>Replace the empty weekly snapshot table with a live aggregation. Confirm whether the weekly scope uses due date, update date, timesheet date, or all three. Recovered from empty-table dependency.</t>
        </is>
      </c>
    </row>
    <row r="105" ht="72" customHeight="1" s="38">
      <c r="A105" s="47" t="inlineStr">
        <is>
          <t>Existing – Reworked with Populated Alternative</t>
        </is>
      </c>
      <c r="B105" s="48" t="n">
        <v>118</v>
      </c>
      <c r="C105" s="48" t="inlineStr">
        <is>
          <t>Delivery Head / PM / Risk or Issue Owner</t>
        </is>
      </c>
      <c r="D105" s="51" t="inlineStr">
        <is>
          <t>High</t>
        </is>
      </c>
      <c r="E105" s="48" t="inlineStr">
        <is>
          <t>Issues &amp; Reporting</t>
        </is>
      </c>
      <c r="F105" s="48" t="inlineStr">
        <is>
          <t>Aggregation / Dashboard KPI</t>
        </is>
      </c>
      <c r="G105" s="51" t="inlineStr">
        <is>
          <t>Complex</t>
        </is>
      </c>
      <c r="H105" s="48" t="inlineStr">
        <is>
          <t>dynamic_weekly_issue_summary</t>
        </is>
      </c>
      <c r="I105" s="48" t="inlineStr">
        <is>
          <t>Generate a live weekly issue summary for :project_name.</t>
        </is>
      </c>
      <c r="J105" s="48" t="inlineStr">
        <is>
          <t>Summarise issue activity for :project_name between :week_start and :week_end.</t>
        </is>
      </c>
      <c r="K105" s="48" t="inlineStr">
        <is>
          <t>Show this week’s issue KPIs for :project_name.</t>
        </is>
      </c>
      <c r="L105" s="48" t="inlineStr">
        <is>
          <t>project_identifier; week_start; week_end</t>
        </is>
      </c>
      <c r="M105" s="48" t="inlineStr">
        <is>
          <t>Provide a reusable dashboard metric for monitoring.</t>
        </is>
      </c>
      <c r="N105" s="48" t="inlineStr">
        <is>
          <t>Replace the empty weekly snapshot table with a live aggregation. Confirm whether the weekly scope uses date raised, update date, closure date, or all three.</t>
        </is>
      </c>
      <c r="O105" s="48" t="inlineStr">
        <is>
          <t>tbl_projects; tbl_project_issues; tbl_project_issue_status; tbl_project_issue_users</t>
        </is>
      </c>
      <c r="P105" s="48" t="inlineStr">
        <is>
          <t>Available – Live Aggregation</t>
        </is>
      </c>
      <c r="Q105" s="48" t="inlineStr">
        <is>
          <t>Predefined aggregation / grouped KPI query</t>
        </is>
      </c>
      <c r="R105" s="52" t="inlineStr">
        <is>
          <t>High</t>
        </is>
      </c>
      <c r="S105" s="48" t="inlineStr">
        <is>
          <t>Orbit KPI Tool with predefined metric logic; Mesh may explain results but must not calculate metrics freely</t>
        </is>
      </c>
      <c r="T105" s="48" t="inlineStr">
        <is>
          <t>Pending – Weekly Scope Rule</t>
        </is>
      </c>
      <c r="U105" s="48" t="n"/>
      <c r="V105" s="48" t="inlineStr">
        <is>
          <t>Replace the empty weekly snapshot table with a live aggregation. Confirm whether the weekly scope uses date raised, update date, closure date, or all three. Recovered from empty-table dependency.</t>
        </is>
      </c>
    </row>
    <row r="106" ht="72" customHeight="1" s="38">
      <c r="A106" s="47" t="inlineStr">
        <is>
          <t>Existing – Retained</t>
        </is>
      </c>
      <c r="B106" s="48" t="n">
        <v>119</v>
      </c>
      <c r="C106" s="48" t="inlineStr">
        <is>
          <t>Delivery Head / PM / Risk or Issue Owner</t>
        </is>
      </c>
      <c r="D106" s="51" t="inlineStr">
        <is>
          <t>High</t>
        </is>
      </c>
      <c r="E106" s="48" t="inlineStr">
        <is>
          <t>Issues &amp; Reporting</t>
        </is>
      </c>
      <c r="F106" s="48" t="inlineStr">
        <is>
          <t>Aggregation / Dashboard KPI</t>
        </is>
      </c>
      <c r="G106" s="49" t="inlineStr">
        <is>
          <t>Moderate</t>
        </is>
      </c>
      <c r="H106" s="48" t="inlineStr">
        <is>
          <t>project_executive_summary</t>
        </is>
      </c>
      <c r="I106" s="48" t="inlineStr">
        <is>
          <t>Show the latest executive summary for :project_name.</t>
        </is>
      </c>
      <c r="J106" s="48" t="inlineStr">
        <is>
          <t>Give the latest project management summary.</t>
        </is>
      </c>
      <c r="K106" s="48" t="inlineStr">
        <is>
          <t>What is the latest executive update for :project_name?</t>
        </is>
      </c>
      <c r="L106" s="48" t="inlineStr">
        <is>
          <t>project_name</t>
        </is>
      </c>
      <c r="M106" s="48" t="inlineStr">
        <is>
          <t>Provide a reusable dashboard metric for monitoring.</t>
        </is>
      </c>
      <c r="N106" s="48" t="inlineStr">
        <is>
          <t>Select latest by save_date/post_date.</t>
        </is>
      </c>
      <c r="O106" s="48" t="inlineStr">
        <is>
          <t>tbl_project_executive_summary</t>
        </is>
      </c>
      <c r="P106" s="48" t="inlineStr">
        <is>
          <t>Data Available</t>
        </is>
      </c>
      <c r="Q106" s="48" t="inlineStr">
        <is>
          <t>Predefined aggregation / grouped KPI query</t>
        </is>
      </c>
      <c r="R106" s="50" t="inlineStr">
        <is>
          <t>Medium</t>
        </is>
      </c>
      <c r="S106" s="48" t="inlineStr">
        <is>
          <t>FAQ/NL2SQL cached template or Orbit aggregation tool; execute on live data</t>
        </is>
      </c>
      <c r="T106" s="48" t="inlineStr">
        <is>
          <t>Mapped – Direct Schema</t>
        </is>
      </c>
      <c r="U106" s="48" t="inlineStr">
        <is>
          <t>SELECT es.executive_id, es.project_id, p.title AS project_title, es.summary, es.stage, es.client_mood, es.live_issues, es.dev_issues, es.resource, es.dev, es.test, es.issues, es.risks, es.pm, es.remaining_tail, es.post_date, es.save_date FROM tbl_project_executive_summary es JOIN tbl_projects p ON p.project_id = es.project_id WHERE p.title = :project_name ORDER BY es.save_date DESC, es.post_date DESC LIMIT 1;</t>
        </is>
      </c>
      <c r="V106" s="48" t="inlineStr">
        <is>
          <t>Select latest by save_date/post_date.</t>
        </is>
      </c>
    </row>
    <row r="107" ht="72" customHeight="1" s="38">
      <c r="A107" s="47" t="inlineStr">
        <is>
          <t>Existing – Retained</t>
        </is>
      </c>
      <c r="B107" s="48" t="n">
        <v>120</v>
      </c>
      <c r="C107" s="48" t="inlineStr">
        <is>
          <t>CEO / Executive / Portfolio Head</t>
        </is>
      </c>
      <c r="D107" s="51" t="inlineStr">
        <is>
          <t>High</t>
        </is>
      </c>
      <c r="E107" s="48" t="inlineStr">
        <is>
          <t>Issues &amp; Reporting</t>
        </is>
      </c>
      <c r="F107" s="48" t="inlineStr">
        <is>
          <t>Aggregation / Dashboard KPI</t>
        </is>
      </c>
      <c r="G107" s="51" t="inlineStr">
        <is>
          <t>Complex</t>
        </is>
      </c>
      <c r="H107" s="48" t="inlineStr">
        <is>
          <t>portfolio_health_summary</t>
        </is>
      </c>
      <c r="I107" s="48" t="inlineStr">
        <is>
          <t>Give me a portfolio health summary.</t>
        </is>
      </c>
      <c r="J107" s="48" t="inlineStr">
        <is>
          <t>Summarize projects, tasks, risks, and issues.</t>
        </is>
      </c>
      <c r="K107" s="48" t="inlineStr">
        <is>
          <t>Show the overall PMS health dashboard.</t>
        </is>
      </c>
      <c r="L107" s="48" t="inlineStr">
        <is>
          <t>current_user_scope, as_of_date</t>
        </is>
      </c>
      <c r="M107" s="48" t="inlineStr">
        <is>
          <t>Provide a reusable dashboard metric for monitoring.</t>
        </is>
      </c>
      <c r="N107" s="48" t="inlineStr">
        <is>
          <t>Define KPIs, visibility scope, and aggregation logic.</t>
        </is>
      </c>
      <c r="O107" s="48" t="inlineStr">
        <is>
          <t>projects; tasks; risks; issues; weekly summaries</t>
        </is>
      </c>
      <c r="P107" s="48" t="inlineStr">
        <is>
          <t>N/A</t>
        </is>
      </c>
      <c r="Q107" s="48" t="inlineStr">
        <is>
          <t>Predefined aggregation / grouped KPI query</t>
        </is>
      </c>
      <c r="R107" s="52" t="inlineStr">
        <is>
          <t>High</t>
        </is>
      </c>
      <c r="S107" s="48" t="inlineStr">
        <is>
          <t>Orbit KPI Tool with predefined metric logic; Mesh may explain results but must not calculate metrics freely</t>
        </is>
      </c>
      <c r="T107" s="48" t="inlineStr">
        <is>
          <t>Not Applicable – Non-Direct Support</t>
        </is>
      </c>
      <c r="U107" s="48" t="n"/>
      <c r="V107" s="48" t="inlineStr">
        <is>
          <t>Define KPIs, visibility scope, and aggregation logic.</t>
        </is>
      </c>
    </row>
    <row r="108" ht="72" customHeight="1" s="38">
      <c r="A108" s="53" t="inlineStr">
        <is>
          <t>New – Executive / KPI / Dashboard</t>
        </is>
      </c>
      <c r="B108" s="48" t="inlineStr"/>
      <c r="C108" s="48" t="inlineStr">
        <is>
          <t>CEO / Executive Committee</t>
        </is>
      </c>
      <c r="D108" s="51" t="inlineStr">
        <is>
          <t>High</t>
        </is>
      </c>
      <c r="E108" s="48" t="inlineStr">
        <is>
          <t>Executive Portfolio</t>
        </is>
      </c>
      <c r="F108" s="48" t="inlineStr">
        <is>
          <t>Executive Composite KPI</t>
        </is>
      </c>
      <c r="G108" s="52" t="inlineStr">
        <is>
          <t>Very Complex</t>
        </is>
      </c>
      <c r="H108" s="48" t="inlineStr">
        <is>
          <t>executive_attention_ranking</t>
        </is>
      </c>
      <c r="I108" s="48" t="inlineStr">
        <is>
          <t>Which projects require immediate executive attention, ranked from highest to lowest risk?</t>
        </is>
      </c>
      <c r="J108" s="48" t="inlineStr">
        <is>
          <t>Show the top :top_n projects needing leadership intervention.</t>
        </is>
      </c>
      <c r="K108" s="48" t="inlineStr">
        <is>
          <t>Create an executive exception list for the portfolio.</t>
        </is>
      </c>
      <c r="L108" s="48" t="inlineStr">
        <is>
          <t>as_of_date; top_n; scoring_weights</t>
        </is>
      </c>
      <c r="M108" s="48" t="inlineStr">
        <is>
          <t>Focus leadership time on the projects with the largest combined delivery exposure.</t>
        </is>
      </c>
      <c r="N108" s="48" t="inlineStr">
        <is>
          <t>Composite score using project RAG, overdue-task ratio, high-severity/open issues, current risk exposure, effort burn, days to end date, and stale-update penalties.</t>
        </is>
      </c>
      <c r="O108" s="48" t="inlineStr">
        <is>
          <t>tbl_projects; tbl_project_status; tbl_project_stages; tbl_project_tasks; tbl_project_task_status; tbl_project_issues; tbl_project_issue_status; tbl_risk; tbl_risk_status; tbl_risk_probability; tbl_risk_impact</t>
        </is>
      </c>
      <c r="P108" s="48" t="inlineStr">
        <is>
          <t>Available – KPI Rule Required</t>
        </is>
      </c>
      <c r="Q108" s="48" t="inlineStr">
        <is>
          <t>Composite multi-table ranking</t>
        </is>
      </c>
      <c r="R108" s="52" t="inlineStr">
        <is>
          <t>High</t>
        </is>
      </c>
      <c r="S108" s="48" t="inlineStr">
        <is>
          <t>Orbit KPI/Watchlist Tool with fixed formulas; cache intent/query plan, execute against live data; use Mesh only to explain computed results.</t>
        </is>
      </c>
      <c r="T108" s="48" t="inlineStr">
        <is>
          <t>Pending – Complex KPI SQL Design</t>
        </is>
      </c>
      <c r="U108" s="48" t="n"/>
      <c r="V108" s="48" t="inlineStr"/>
    </row>
    <row r="109" ht="72" customHeight="1" s="38">
      <c r="A109" s="53" t="inlineStr">
        <is>
          <t>New – Executive / KPI / Dashboard</t>
        </is>
      </c>
      <c r="B109" s="48" t="inlineStr"/>
      <c r="C109" s="48" t="inlineStr">
        <is>
          <t>CEO / Executive Committee / Finance</t>
        </is>
      </c>
      <c r="D109" s="51" t="inlineStr">
        <is>
          <t>High</t>
        </is>
      </c>
      <c r="E109" s="48" t="inlineStr">
        <is>
          <t>Executive Portfolio</t>
        </is>
      </c>
      <c r="F109" s="48" t="inlineStr">
        <is>
          <t>Executive KPI / Dashboard</t>
        </is>
      </c>
      <c r="G109" s="51" t="inlineStr">
        <is>
          <t>Complex</t>
        </is>
      </c>
      <c r="H109" s="48" t="inlineStr">
        <is>
          <t>deal_weighted_rag_distribution</t>
        </is>
      </c>
      <c r="I109" s="48" t="inlineStr">
        <is>
          <t>What percentage of the active portfolio is Red, Amber, or Green when weighted by deal value?</t>
        </is>
      </c>
      <c r="J109" s="48" t="inlineStr">
        <is>
          <t>Show deal-value-weighted RAG distribution.</t>
        </is>
      </c>
      <c r="K109" s="48" t="inlineStr">
        <is>
          <t>How much portfolio value sits in each RAG category?</t>
        </is>
      </c>
      <c r="L109" s="48" t="inlineStr">
        <is>
          <t>as_of_date</t>
        </is>
      </c>
      <c r="M109" s="48" t="inlineStr">
        <is>
          <t>Measure financial exposure, not only project counts.</t>
        </is>
      </c>
      <c r="N109" s="48" t="inlineStr">
        <is>
          <t>Sum deal_value by RAG and divide by total deal_value for active, non-archived projects.</t>
        </is>
      </c>
      <c r="O109" s="48" t="inlineStr">
        <is>
          <t>tbl_projects</t>
        </is>
      </c>
      <c r="P109" s="48" t="inlineStr">
        <is>
          <t>Available – KPI Rule Required</t>
        </is>
      </c>
      <c r="Q109" s="48" t="inlineStr">
        <is>
          <t>Predefined multi-table KPI / trend aggregation</t>
        </is>
      </c>
      <c r="R109" s="52" t="inlineStr">
        <is>
          <t>High</t>
        </is>
      </c>
      <c r="S109" s="48" t="inlineStr">
        <is>
          <t>Orbit KPI/Watchlist Tool with fixed formulas; cache intent/query plan, execute against live data; use Mesh only to explain computed results.</t>
        </is>
      </c>
      <c r="T109" s="48" t="inlineStr">
        <is>
          <t>Pending – Complex KPI SQL Design</t>
        </is>
      </c>
      <c r="U109" s="48" t="n"/>
      <c r="V109" s="48" t="inlineStr"/>
    </row>
    <row r="110" ht="72" customHeight="1" s="38">
      <c r="A110" s="53" t="inlineStr">
        <is>
          <t>New – Executive / KPI / Dashboard</t>
        </is>
      </c>
      <c r="B110" s="48" t="inlineStr"/>
      <c r="C110" s="48" t="inlineStr">
        <is>
          <t>CEO / Executive Committee / Finance</t>
        </is>
      </c>
      <c r="D110" s="51" t="inlineStr">
        <is>
          <t>High</t>
        </is>
      </c>
      <c r="E110" s="48" t="inlineStr">
        <is>
          <t>Executive Portfolio</t>
        </is>
      </c>
      <c r="F110" s="48" t="inlineStr">
        <is>
          <t>Executive KPI / Dashboard</t>
        </is>
      </c>
      <c r="G110" s="51" t="inlineStr">
        <is>
          <t>Complex</t>
        </is>
      </c>
      <c r="H110" s="48" t="inlineStr">
        <is>
          <t>deal_value_at_risk</t>
        </is>
      </c>
      <c r="I110" s="48" t="inlineStr">
        <is>
          <t>How much deal value is currently at risk in Red and Amber projects?</t>
        </is>
      </c>
      <c r="J110" s="48" t="inlineStr">
        <is>
          <t>Show total commercial exposure in unhealthy projects.</t>
        </is>
      </c>
      <c r="K110" s="48" t="inlineStr">
        <is>
          <t>What is the value of the portfolio requiring recovery action?</t>
        </is>
      </c>
      <c r="L110" s="48" t="inlineStr">
        <is>
          <t>as_of_date; risk_rag_values</t>
        </is>
      </c>
      <c r="M110" s="48" t="inlineStr">
        <is>
          <t>Quantify commercial exposure and prioritise recovery investment.</t>
        </is>
      </c>
      <c r="N110" s="48" t="inlineStr">
        <is>
          <t>Aggregate deal_value for active projects whose RAG is in configured risk categories; split by PM, client, project type, and stage.</t>
        </is>
      </c>
      <c r="O110" s="48" t="inlineStr">
        <is>
          <t>tbl_projects; tbl_clients; tbl_project_types; tbl_project_stages</t>
        </is>
      </c>
      <c r="P110" s="48" t="inlineStr">
        <is>
          <t>Available – KPI Rule Required</t>
        </is>
      </c>
      <c r="Q110" s="48" t="inlineStr">
        <is>
          <t>Predefined multi-table KPI / trend aggregation</t>
        </is>
      </c>
      <c r="R110" s="52" t="inlineStr">
        <is>
          <t>High</t>
        </is>
      </c>
      <c r="S110" s="48" t="inlineStr">
        <is>
          <t>Orbit KPI/Watchlist Tool with fixed formulas; cache intent/query plan, execute against live data; use Mesh only to explain computed results.</t>
        </is>
      </c>
      <c r="T110" s="48" t="inlineStr">
        <is>
          <t>Pending – Complex KPI SQL Design</t>
        </is>
      </c>
      <c r="U110" s="48" t="n"/>
      <c r="V110" s="48" t="inlineStr"/>
    </row>
    <row r="111" ht="72" customHeight="1" s="38">
      <c r="A111" s="53" t="inlineStr">
        <is>
          <t>New – Executive / KPI / Dashboard</t>
        </is>
      </c>
      <c r="B111" s="48" t="inlineStr"/>
      <c r="C111" s="48" t="inlineStr">
        <is>
          <t>CEO / Delivery Head / Portfolio Head</t>
        </is>
      </c>
      <c r="D111" s="51" t="inlineStr">
        <is>
          <t>High</t>
        </is>
      </c>
      <c r="E111" s="48" t="inlineStr">
        <is>
          <t>Executive Portfolio</t>
        </is>
      </c>
      <c r="F111" s="48" t="inlineStr">
        <is>
          <t>Forecast / Predictive</t>
        </is>
      </c>
      <c r="G111" s="52" t="inlineStr">
        <is>
          <t>Very Complex</t>
        </is>
      </c>
      <c r="H111" s="48" t="inlineStr">
        <is>
          <t>project_end_date_miss_forecast</t>
        </is>
      </c>
      <c r="I111" s="48" t="inlineStr">
        <is>
          <t>Which projects are most likely to miss their committed end dates?</t>
        </is>
      </c>
      <c r="J111" s="48" t="inlineStr">
        <is>
          <t>Forecast projects at risk of schedule slippage.</t>
        </is>
      </c>
      <c r="K111" s="48" t="inlineStr">
        <is>
          <t>Which projects need intervention to protect their delivery date?</t>
        </is>
      </c>
      <c r="L111" s="48" t="inlineStr">
        <is>
          <t>as_of_date; forecast_horizon; scoring_weights</t>
        </is>
      </c>
      <c r="M111" s="48" t="inlineStr">
        <is>
          <t>Intervene before delivery dates are missed.</t>
        </is>
      </c>
      <c r="N111" s="48" t="inlineStr">
        <is>
          <t>Deterministic risk score using days remaining, overdue/open-task ratio, tasks due after project end, remaining estimated effort, unresolved issue/risk exposure, and update recency.</t>
        </is>
      </c>
      <c r="O111" s="48" t="inlineStr">
        <is>
          <t>tbl_projects; tbl_project_status; tbl_project_stages; tbl_project_tasks; tbl_project_task_status; tbl_timesheets; tbl_project_issues; tbl_project_issue_status; tbl_risk; tbl_risk_status</t>
        </is>
      </c>
      <c r="P111" s="48" t="inlineStr">
        <is>
          <t>Available – KPI Rule Required</t>
        </is>
      </c>
      <c r="Q111" s="48" t="inlineStr">
        <is>
          <t>Deterministic forecast / watchlist scoring</t>
        </is>
      </c>
      <c r="R111" s="52" t="inlineStr">
        <is>
          <t>High</t>
        </is>
      </c>
      <c r="S111" s="48" t="inlineStr">
        <is>
          <t>Orbit KPI/Watchlist Tool with fixed formulas; cache intent/query plan, execute against live data; use Mesh only to explain computed results.</t>
        </is>
      </c>
      <c r="T111" s="48" t="inlineStr">
        <is>
          <t>Pending – Complex KPI SQL Design</t>
        </is>
      </c>
      <c r="U111" s="48" t="n"/>
      <c r="V111" s="48" t="inlineStr"/>
    </row>
    <row r="112" ht="72" customHeight="1" s="38">
      <c r="A112" s="53" t="inlineStr">
        <is>
          <t>New – Executive / KPI / Dashboard</t>
        </is>
      </c>
      <c r="B112" s="48" t="inlineStr"/>
      <c r="C112" s="48" t="inlineStr">
        <is>
          <t>CEO / Delivery Head</t>
        </is>
      </c>
      <c r="D112" s="51" t="inlineStr">
        <is>
          <t>High</t>
        </is>
      </c>
      <c r="E112" s="48" t="inlineStr">
        <is>
          <t>Executive Portfolio</t>
        </is>
      </c>
      <c r="F112" s="48" t="inlineStr">
        <is>
          <t>Executive KPI / Dashboard</t>
        </is>
      </c>
      <c r="G112" s="51" t="inlineStr">
        <is>
          <t>Complex</t>
        </is>
      </c>
      <c r="H112" s="48" t="inlineStr">
        <is>
          <t>pm_risk_concentration</t>
        </is>
      </c>
      <c r="I112" s="48" t="inlineStr">
        <is>
          <t>Which project managers carry the highest concentration of Red or Amber projects?</t>
        </is>
      </c>
      <c r="J112" s="48" t="inlineStr">
        <is>
          <t>Rank PMs by unhealthy project count and value.</t>
        </is>
      </c>
      <c r="K112" s="48" t="inlineStr">
        <is>
          <t>Which PM portfolios need additional leadership support?</t>
        </is>
      </c>
      <c r="L112" s="48" t="inlineStr">
        <is>
          <t>as_of_date; rag_values</t>
        </is>
      </c>
      <c r="M112" s="48" t="inlineStr">
        <is>
          <t>Detect concentrated delivery risk and coaching/support needs.</t>
        </is>
      </c>
      <c r="N112" s="48" t="inlineStr">
        <is>
          <t>Group active projects by pm_user_id; calculate red/amber project count, percentage, deal value, overdue-task ratio, and issue/risk exposure.</t>
        </is>
      </c>
      <c r="O112" s="48" t="inlineStr">
        <is>
          <t>tbl_projects; tbl_users; tbl_project_tasks; tbl_project_issues; tbl_risk</t>
        </is>
      </c>
      <c r="P112" s="48" t="inlineStr">
        <is>
          <t>Available – KPI Rule Required</t>
        </is>
      </c>
      <c r="Q112" s="48" t="inlineStr">
        <is>
          <t>Predefined multi-table KPI / trend aggregation</t>
        </is>
      </c>
      <c r="R112" s="52" t="inlineStr">
        <is>
          <t>High</t>
        </is>
      </c>
      <c r="S112" s="48" t="inlineStr">
        <is>
          <t>Orbit KPI/Watchlist Tool with fixed formulas; cache intent/query plan, execute against live data; use Mesh only to explain computed results.</t>
        </is>
      </c>
      <c r="T112" s="48" t="inlineStr">
        <is>
          <t>Pending – Complex KPI SQL Design</t>
        </is>
      </c>
      <c r="U112" s="48" t="n"/>
      <c r="V112" s="48" t="inlineStr"/>
    </row>
    <row r="113" ht="72" customHeight="1" s="38">
      <c r="A113" s="53" t="inlineStr">
        <is>
          <t>New – Executive / KPI / Dashboard</t>
        </is>
      </c>
      <c r="B113" s="48" t="inlineStr"/>
      <c r="C113" s="48" t="inlineStr">
        <is>
          <t>CEO / Delivery Head</t>
        </is>
      </c>
      <c r="D113" s="51" t="inlineStr">
        <is>
          <t>High</t>
        </is>
      </c>
      <c r="E113" s="48" t="inlineStr">
        <is>
          <t>Executive Portfolio</t>
        </is>
      </c>
      <c r="F113" s="48" t="inlineStr">
        <is>
          <t>Executive Composite KPI</t>
        </is>
      </c>
      <c r="G113" s="52" t="inlineStr">
        <is>
          <t>Very Complex</t>
        </is>
      </c>
      <c r="H113" s="48" t="inlineStr">
        <is>
          <t>pm_delivery_performance_scorecard</t>
        </is>
      </c>
      <c r="I113" s="48" t="inlineStr">
        <is>
          <t>How are project managers performing across delivery, effort, risk, and issue KPIs?</t>
        </is>
      </c>
      <c r="J113" s="48" t="inlineStr">
        <is>
          <t>Show a comparative PM delivery scorecard.</t>
        </is>
      </c>
      <c r="K113" s="48" t="inlineStr">
        <is>
          <t>Which PMs consistently deliver healthy projects?</t>
        </is>
      </c>
      <c r="L113" s="48" t="inlineStr">
        <is>
          <t>period; scoring_weights; minimum_project_count</t>
        </is>
      </c>
      <c r="M113" s="48" t="inlineStr">
        <is>
          <t>Compare performance using consistent evidence rather than narrative judgement.</t>
        </is>
      </c>
      <c r="N113" s="48" t="inlineStr">
        <is>
          <t>Composite PM score from project RAG, on-time task rate, average overdue days, effort variance, issue closure rate, risk closure rate, and update freshness.</t>
        </is>
      </c>
      <c r="O113" s="48" t="inlineStr">
        <is>
          <t>tbl_projects; tbl_users; tbl_project_tasks; tbl_project_task_status; tbl_timesheets; tbl_project_issues; tbl_project_issue_status; tbl_risk; tbl_risk_status</t>
        </is>
      </c>
      <c r="P113" s="48" t="inlineStr">
        <is>
          <t>Available – KPI Rule Required</t>
        </is>
      </c>
      <c r="Q113" s="48" t="inlineStr">
        <is>
          <t>Composite multi-table ranking</t>
        </is>
      </c>
      <c r="R113" s="52" t="inlineStr">
        <is>
          <t>High</t>
        </is>
      </c>
      <c r="S113" s="48" t="inlineStr">
        <is>
          <t>Orbit KPI/Watchlist Tool with fixed formulas; cache intent/query plan, execute against live data; use Mesh only to explain computed results.</t>
        </is>
      </c>
      <c r="T113" s="48" t="inlineStr">
        <is>
          <t>Pending – Complex KPI SQL Design</t>
        </is>
      </c>
      <c r="U113" s="48" t="n"/>
      <c r="V113" s="48" t="inlineStr"/>
    </row>
    <row r="114" ht="72" customHeight="1" s="38">
      <c r="A114" s="53" t="inlineStr">
        <is>
          <t>New – Executive / KPI / Dashboard</t>
        </is>
      </c>
      <c r="B114" s="48" t="inlineStr"/>
      <c r="C114" s="48" t="inlineStr">
        <is>
          <t>CEO / Delivery Head / Finance</t>
        </is>
      </c>
      <c r="D114" s="51" t="inlineStr">
        <is>
          <t>High</t>
        </is>
      </c>
      <c r="E114" s="48" t="inlineStr">
        <is>
          <t>Executive Portfolio</t>
        </is>
      </c>
      <c r="F114" s="48" t="inlineStr">
        <is>
          <t>Executive KPI / Dashboard</t>
        </is>
      </c>
      <c r="G114" s="51" t="inlineStr">
        <is>
          <t>Complex</t>
        </is>
      </c>
      <c r="H114" s="48" t="inlineStr">
        <is>
          <t>portfolio_effort_burn_vs_completion</t>
        </is>
      </c>
      <c r="I114" s="48" t="inlineStr">
        <is>
          <t>Which projects are consuming effort faster than they are completing work?</t>
        </is>
      </c>
      <c r="J114" s="48" t="inlineStr">
        <is>
          <t>Compare effort burn against delivery completion across the portfolio.</t>
        </is>
      </c>
      <c r="K114" s="48" t="inlineStr">
        <is>
          <t>Where is effort consumption outpacing progress?</t>
        </is>
      </c>
      <c r="L114" s="48" t="inlineStr">
        <is>
          <t>as_of_date; burn_threshold; completion_method</t>
        </is>
      </c>
      <c r="M114" s="48" t="inlineStr">
        <is>
          <t>Identify likely overruns early.</t>
        </is>
      </c>
      <c r="N114" s="48" t="inlineStr">
        <is>
          <t>Compare project estimate, total_hours_booked, timesheet hours, and weighted task percent_complete. Flag high burn with low completion.</t>
        </is>
      </c>
      <c r="O114" s="48" t="inlineStr">
        <is>
          <t>tbl_projects; tbl_project_tasks; tbl_timesheets</t>
        </is>
      </c>
      <c r="P114" s="48" t="inlineStr">
        <is>
          <t>Available – KPI Rule Required</t>
        </is>
      </c>
      <c r="Q114" s="48" t="inlineStr">
        <is>
          <t>Predefined multi-table KPI / trend aggregation</t>
        </is>
      </c>
      <c r="R114" s="52" t="inlineStr">
        <is>
          <t>High</t>
        </is>
      </c>
      <c r="S114" s="48" t="inlineStr">
        <is>
          <t>Orbit KPI/Watchlist Tool with fixed formulas; cache intent/query plan, execute against live data; use Mesh only to explain computed results.</t>
        </is>
      </c>
      <c r="T114" s="48" t="inlineStr">
        <is>
          <t>Pending – Complex KPI SQL Design</t>
        </is>
      </c>
      <c r="U114" s="48" t="n"/>
      <c r="V114" s="48" t="inlineStr"/>
    </row>
    <row r="115" ht="72" customHeight="1" s="38">
      <c r="A115" s="53" t="inlineStr">
        <is>
          <t>New – Executive / KPI / Dashboard</t>
        </is>
      </c>
      <c r="B115" s="48" t="inlineStr"/>
      <c r="C115" s="48" t="inlineStr">
        <is>
          <t>CEO / Delivery Head / Finance</t>
        </is>
      </c>
      <c r="D115" s="51" t="inlineStr">
        <is>
          <t>High</t>
        </is>
      </c>
      <c r="E115" s="48" t="inlineStr">
        <is>
          <t>Executive Portfolio</t>
        </is>
      </c>
      <c r="F115" s="48" t="inlineStr">
        <is>
          <t>Exception / KPI</t>
        </is>
      </c>
      <c r="G115" s="51" t="inlineStr">
        <is>
          <t>Complex</t>
        </is>
      </c>
      <c r="H115" s="48" t="inlineStr">
        <is>
          <t>high_burn_low_completion_projects</t>
        </is>
      </c>
      <c r="I115" s="48" t="inlineStr">
        <is>
          <t>Which projects have consumed more than :burn_percent of estimated effort but completed less than :completion_percent of work?</t>
        </is>
      </c>
      <c r="J115" s="48" t="inlineStr">
        <is>
          <t>Find high-burn, low-progress projects.</t>
        </is>
      </c>
      <c r="K115" s="48" t="inlineStr">
        <is>
          <t>Which projects show the strongest effort-to-progress mismatch?</t>
        </is>
      </c>
      <c r="L115" s="48" t="inlineStr">
        <is>
          <t>burn_percent; completion_percent; as_of_date</t>
        </is>
      </c>
      <c r="M115" s="48" t="inlineStr">
        <is>
          <t>Create a focused overrun watchlist.</t>
        </is>
      </c>
      <c r="N115" s="48" t="inlineStr">
        <is>
          <t>Burn ratio = live logged/booked effort ÷ project estimate. Completion = governed weighted task completion. Filter using configured thresholds.</t>
        </is>
      </c>
      <c r="O115" s="48" t="inlineStr">
        <is>
          <t>tbl_projects; tbl_project_tasks; tbl_timesheets</t>
        </is>
      </c>
      <c r="P115" s="48" t="inlineStr">
        <is>
          <t>Available – KPI Rule Required</t>
        </is>
      </c>
      <c r="Q115" s="48" t="inlineStr">
        <is>
          <t>Predefined multi-table KPI / trend aggregation</t>
        </is>
      </c>
      <c r="R115" s="52" t="inlineStr">
        <is>
          <t>High</t>
        </is>
      </c>
      <c r="S115" s="48" t="inlineStr">
        <is>
          <t>Orbit KPI/Watchlist Tool with fixed formulas; cache intent/query plan, execute against live data; use Mesh only to explain computed results.</t>
        </is>
      </c>
      <c r="T115" s="48" t="inlineStr">
        <is>
          <t>Pending – Complex KPI SQL Design</t>
        </is>
      </c>
      <c r="U115" s="48" t="n"/>
      <c r="V115" s="48" t="inlineStr"/>
    </row>
    <row r="116" ht="72" customHeight="1" s="38">
      <c r="A116" s="53" t="inlineStr">
        <is>
          <t>New – Executive / KPI / Dashboard</t>
        </is>
      </c>
      <c r="B116" s="48" t="inlineStr"/>
      <c r="C116" s="48" t="inlineStr">
        <is>
          <t>CEO / Client Leadership / Delivery Head</t>
        </is>
      </c>
      <c r="D116" s="51" t="inlineStr">
        <is>
          <t>High</t>
        </is>
      </c>
      <c r="E116" s="48" t="inlineStr">
        <is>
          <t>Executive Portfolio</t>
        </is>
      </c>
      <c r="F116" s="48" t="inlineStr">
        <is>
          <t>Executive Composite KPI</t>
        </is>
      </c>
      <c r="G116" s="52" t="inlineStr">
        <is>
          <t>Very Complex</t>
        </is>
      </c>
      <c r="H116" s="48" t="inlineStr">
        <is>
          <t>client_delivery_exposure</t>
        </is>
      </c>
      <c r="I116" s="48" t="inlineStr">
        <is>
          <t>Which clients have the greatest delivery exposure across active projects?</t>
        </is>
      </c>
      <c r="J116" s="48" t="inlineStr">
        <is>
          <t>Rank clients by project value, unhealthy RAG, overdue work, risks, and issues.</t>
        </is>
      </c>
      <c r="K116" s="48" t="inlineStr">
        <is>
          <t>Where is client relationship risk concentrated?</t>
        </is>
      </c>
      <c r="L116" s="48" t="inlineStr">
        <is>
          <t>as_of_date; top_n</t>
        </is>
      </c>
      <c r="M116" s="48" t="inlineStr">
        <is>
          <t>Protect strategic client relationships and revenue.</t>
        </is>
      </c>
      <c r="N116" s="48" t="inlineStr">
        <is>
          <t>Aggregate project count, deal value, RAG mix, overdue-task ratio, issue severity, and risk exposure by client.</t>
        </is>
      </c>
      <c r="O116" s="48" t="inlineStr">
        <is>
          <t>tbl_projects; tbl_clients; tbl_project_tasks; tbl_project_issues; tbl_risk</t>
        </is>
      </c>
      <c r="P116" s="48" t="inlineStr">
        <is>
          <t>Available – KPI Rule Required</t>
        </is>
      </c>
      <c r="Q116" s="48" t="inlineStr">
        <is>
          <t>Composite multi-table ranking</t>
        </is>
      </c>
      <c r="R116" s="52" t="inlineStr">
        <is>
          <t>High</t>
        </is>
      </c>
      <c r="S116" s="48" t="inlineStr">
        <is>
          <t>Orbit KPI/Watchlist Tool with fixed formulas; cache intent/query plan, execute against live data; use Mesh only to explain computed results.</t>
        </is>
      </c>
      <c r="T116" s="48" t="inlineStr">
        <is>
          <t>Pending – Complex KPI SQL Design</t>
        </is>
      </c>
      <c r="U116" s="48" t="n"/>
      <c r="V116" s="48" t="inlineStr"/>
    </row>
    <row r="117" ht="72" customHeight="1" s="38">
      <c r="A117" s="53" t="inlineStr">
        <is>
          <t>New – Executive / KPI / Dashboard</t>
        </is>
      </c>
      <c r="B117" s="48" t="inlineStr"/>
      <c r="C117" s="48" t="inlineStr">
        <is>
          <t>CEO / Strategy / Delivery Head</t>
        </is>
      </c>
      <c r="D117" s="51" t="inlineStr">
        <is>
          <t>High</t>
        </is>
      </c>
      <c r="E117" s="48" t="inlineStr">
        <is>
          <t>Executive Portfolio</t>
        </is>
      </c>
      <c r="F117" s="48" t="inlineStr">
        <is>
          <t>Executive KPI / Dashboard</t>
        </is>
      </c>
      <c r="G117" s="51" t="inlineStr">
        <is>
          <t>Complex</t>
        </is>
      </c>
      <c r="H117" s="48" t="inlineStr">
        <is>
          <t>portfolio_segment_performance</t>
        </is>
      </c>
      <c r="I117" s="48" t="inlineStr">
        <is>
          <t>Which project types, business models, sources, or categories have the highest delay and overrun rates?</t>
        </is>
      </c>
      <c r="J117" s="48" t="inlineStr">
        <is>
          <t>Compare delivery performance across portfolio segments.</t>
        </is>
      </c>
      <c r="K117" s="48" t="inlineStr">
        <is>
          <t>Which types of work are structurally underperforming?</t>
        </is>
      </c>
      <c r="L117" s="48" t="inlineStr">
        <is>
          <t>period; segment_dimension; minimum_project_count</t>
        </is>
      </c>
      <c r="M117" s="48" t="inlineStr">
        <is>
          <t>Improve portfolio strategy, pricing, and delivery model choices.</t>
        </is>
      </c>
      <c r="N117" s="48" t="inlineStr">
        <is>
          <t>Group by project_type/project_type_id, business_model, source, or category_type; compare overdue rate, RAG mix, effort variance, issue rate, and risk exposure.</t>
        </is>
      </c>
      <c r="O117" s="48" t="inlineStr">
        <is>
          <t>tbl_projects; tbl_project_types; tbl_project_tasks; tbl_timesheets; tbl_project_issues; tbl_risk</t>
        </is>
      </c>
      <c r="P117" s="48" t="inlineStr">
        <is>
          <t>Available – KPI Rule Required</t>
        </is>
      </c>
      <c r="Q117" s="48" t="inlineStr">
        <is>
          <t>Predefined multi-table KPI / trend aggregation</t>
        </is>
      </c>
      <c r="R117" s="52" t="inlineStr">
        <is>
          <t>High</t>
        </is>
      </c>
      <c r="S117" s="48" t="inlineStr">
        <is>
          <t>Orbit KPI/Watchlist Tool with fixed formulas; cache intent/query plan, execute against live data; use Mesh only to explain computed results.</t>
        </is>
      </c>
      <c r="T117" s="48" t="inlineStr">
        <is>
          <t>Pending – Complex KPI SQL Design</t>
        </is>
      </c>
      <c r="U117" s="48" t="n"/>
      <c r="V117" s="48" t="inlineStr"/>
    </row>
    <row r="118" ht="72" customHeight="1" s="38">
      <c r="A118" s="53" t="inlineStr">
        <is>
          <t>New – Executive / KPI / Dashboard</t>
        </is>
      </c>
      <c r="B118" s="48" t="inlineStr"/>
      <c r="C118" s="48" t="inlineStr">
        <is>
          <t>CEO / Audit / Delivery Head</t>
        </is>
      </c>
      <c r="D118" s="51" t="inlineStr">
        <is>
          <t>High</t>
        </is>
      </c>
      <c r="E118" s="48" t="inlineStr">
        <is>
          <t>Governance</t>
        </is>
      </c>
      <c r="F118" s="48" t="inlineStr">
        <is>
          <t>Executive KPI / Dashboard</t>
        </is>
      </c>
      <c r="G118" s="51" t="inlineStr">
        <is>
          <t>Complex</t>
        </is>
      </c>
      <c r="H118" s="48" t="inlineStr">
        <is>
          <t>high_value_governance_gaps</t>
        </is>
      </c>
      <c r="I118" s="48" t="inlineStr">
        <is>
          <t>Which high-value projects have unresolved governance or audit gaps?</t>
        </is>
      </c>
      <c r="J118" s="48" t="inlineStr">
        <is>
          <t>Show projects with pending/review audit status and high deal value.</t>
        </is>
      </c>
      <c r="K118" s="48" t="inlineStr">
        <is>
          <t>Where are governance gaps creating material exposure?</t>
        </is>
      </c>
      <c r="L118" s="48" t="inlineStr">
        <is>
          <t>deal_value_threshold; as_of_date</t>
        </is>
      </c>
      <c r="M118" s="48" t="inlineStr">
        <is>
          <t>Prioritise governance remediation on materially important projects.</t>
        </is>
      </c>
      <c r="N118" s="48" t="inlineStr">
        <is>
          <t>Filter projects with audit_status not confirmed or missing/blank lifecycle evidence fields; rank by deal_value and health indicators.</t>
        </is>
      </c>
      <c r="O118" s="48" t="inlineStr">
        <is>
          <t>tbl_projects</t>
        </is>
      </c>
      <c r="P118" s="48" t="inlineStr">
        <is>
          <t>Available – KPI Rule Required</t>
        </is>
      </c>
      <c r="Q118" s="48" t="inlineStr">
        <is>
          <t>Predefined multi-table KPI / trend aggregation</t>
        </is>
      </c>
      <c r="R118" s="52" t="inlineStr">
        <is>
          <t>High</t>
        </is>
      </c>
      <c r="S118" s="48" t="inlineStr">
        <is>
          <t>Orbit KPI/Watchlist Tool with fixed formulas; cache intent/query plan, execute against live data; use Mesh only to explain computed results.</t>
        </is>
      </c>
      <c r="T118" s="48" t="inlineStr">
        <is>
          <t>Pending – Complex KPI SQL Design</t>
        </is>
      </c>
      <c r="U118" s="48" t="n"/>
      <c r="V118" s="48" t="inlineStr"/>
    </row>
    <row r="119" ht="72" customHeight="1" s="38">
      <c r="A119" s="53" t="inlineStr">
        <is>
          <t>New – Executive / KPI / Dashboard</t>
        </is>
      </c>
      <c r="B119" s="48" t="inlineStr"/>
      <c r="C119" s="48" t="inlineStr">
        <is>
          <t>CEO / Delivery Head / PMO</t>
        </is>
      </c>
      <c r="D119" s="51" t="inlineStr">
        <is>
          <t>High</t>
        </is>
      </c>
      <c r="E119" s="48" t="inlineStr">
        <is>
          <t>Executive Reporting</t>
        </is>
      </c>
      <c r="F119" s="48" t="inlineStr">
        <is>
          <t>Exception / KPI</t>
        </is>
      </c>
      <c r="G119" s="51" t="inlineStr">
        <is>
          <t>Complex</t>
        </is>
      </c>
      <c r="H119" s="48" t="inlineStr">
        <is>
          <t>executive_summary_freshness</t>
        </is>
      </c>
      <c r="I119" s="48" t="inlineStr">
        <is>
          <t>Which active projects have stale or missing executive summaries?</t>
        </is>
      </c>
      <c r="J119" s="48" t="inlineStr">
        <is>
          <t>Show projects without a recent management update.</t>
        </is>
      </c>
      <c r="K119" s="48" t="inlineStr">
        <is>
          <t>Which projects have not provided an executive summary within :days days?</t>
        </is>
      </c>
      <c r="L119" s="48" t="inlineStr">
        <is>
          <t>days; as_of_date</t>
        </is>
      </c>
      <c r="M119" s="48" t="inlineStr">
        <is>
          <t>Improve management visibility and reporting discipline.</t>
        </is>
      </c>
      <c r="N119" s="48" t="inlineStr">
        <is>
          <t>For each active project, compare latest tbl_project_executive_summary.save_date/post_date with as_of_date; rank stale projects by deal value and RAG.</t>
        </is>
      </c>
      <c r="O119" s="48" t="inlineStr">
        <is>
          <t>tbl_projects; tbl_project_executive_summary</t>
        </is>
      </c>
      <c r="P119" s="48" t="inlineStr">
        <is>
          <t>Available – KPI Rule Required</t>
        </is>
      </c>
      <c r="Q119" s="48" t="inlineStr">
        <is>
          <t>Predefined multi-table KPI / trend aggregation</t>
        </is>
      </c>
      <c r="R119" s="52" t="inlineStr">
        <is>
          <t>High</t>
        </is>
      </c>
      <c r="S119" s="48" t="inlineStr">
        <is>
          <t>Orbit KPI/Watchlist Tool with fixed formulas; cache intent/query plan, execute against live data; use Mesh only to explain computed results.</t>
        </is>
      </c>
      <c r="T119" s="48" t="inlineStr">
        <is>
          <t>Pending – Complex KPI SQL Design</t>
        </is>
      </c>
      <c r="U119" s="48" t="n"/>
      <c r="V119" s="48" t="inlineStr"/>
    </row>
    <row r="120" ht="72" customHeight="1" s="38">
      <c r="A120" s="53" t="inlineStr">
        <is>
          <t>New – Executive / KPI / Dashboard</t>
        </is>
      </c>
      <c r="B120" s="48" t="inlineStr"/>
      <c r="C120" s="48" t="inlineStr">
        <is>
          <t>CEO / Client Leadership / Delivery Head</t>
        </is>
      </c>
      <c r="D120" s="51" t="inlineStr">
        <is>
          <t>High</t>
        </is>
      </c>
      <c r="E120" s="48" t="inlineStr">
        <is>
          <t>Executive Reporting</t>
        </is>
      </c>
      <c r="F120" s="48" t="inlineStr">
        <is>
          <t>Executive Composite KPI</t>
        </is>
      </c>
      <c r="G120" s="52" t="inlineStr">
        <is>
          <t>Very Complex</t>
        </is>
      </c>
      <c r="H120" s="48" t="inlineStr">
        <is>
          <t>client_mood_objective_health_mismatch</t>
        </is>
      </c>
      <c r="I120" s="48" t="inlineStr">
        <is>
          <t>Where does reported client mood conflict with objective project health indicators?</t>
        </is>
      </c>
      <c r="J120" s="48" t="inlineStr">
        <is>
          <t>Find projects showing positive client mood but deteriorating delivery KPIs.</t>
        </is>
      </c>
      <c r="K120" s="48" t="inlineStr">
        <is>
          <t>Which projects have a narrative-versus-data mismatch?</t>
        </is>
      </c>
      <c r="L120" s="48" t="inlineStr">
        <is>
          <t>period; mismatch_rules</t>
        </is>
      </c>
      <c r="M120" s="48" t="inlineStr">
        <is>
          <t>Detect optimism bias or stale narrative reporting.</t>
        </is>
      </c>
      <c r="N120" s="48" t="inlineStr">
        <is>
          <t>Compare latest client_mood/stage/live_issues/resource narrative fields with project RAG, overdue tasks, issue severity, risk exposure, and effort burn.</t>
        </is>
      </c>
      <c r="O120" s="48" t="inlineStr">
        <is>
          <t>tbl_projects; tbl_project_executive_summary; tbl_project_tasks; tbl_project_issues; tbl_risk</t>
        </is>
      </c>
      <c r="P120" s="48" t="inlineStr">
        <is>
          <t>Available – KPI Rule Required</t>
        </is>
      </c>
      <c r="Q120" s="48" t="inlineStr">
        <is>
          <t>Composite multi-table ranking</t>
        </is>
      </c>
      <c r="R120" s="52" t="inlineStr">
        <is>
          <t>High</t>
        </is>
      </c>
      <c r="S120" s="48" t="inlineStr">
        <is>
          <t>Orbit KPI/Watchlist Tool with fixed formulas; cache intent/query plan, execute against live data; use Mesh only to explain computed results.</t>
        </is>
      </c>
      <c r="T120" s="48" t="inlineStr">
        <is>
          <t>Pending – Complex KPI SQL Design</t>
        </is>
      </c>
      <c r="U120" s="48" t="n"/>
      <c r="V120" s="48" t="inlineStr"/>
    </row>
    <row r="121" ht="72" customHeight="1" s="38">
      <c r="A121" s="53" t="inlineStr">
        <is>
          <t>New – Executive / KPI / Dashboard</t>
        </is>
      </c>
      <c r="B121" s="48" t="inlineStr"/>
      <c r="C121" s="48" t="inlineStr">
        <is>
          <t>CEO / Strategy / Delivery Head</t>
        </is>
      </c>
      <c r="D121" s="51" t="inlineStr">
        <is>
          <t>High</t>
        </is>
      </c>
      <c r="E121" s="48" t="inlineStr">
        <is>
          <t>Executive Portfolio</t>
        </is>
      </c>
      <c r="F121" s="48" t="inlineStr">
        <is>
          <t>Trend / Dashboard KPI</t>
        </is>
      </c>
      <c r="G121" s="51" t="inlineStr">
        <is>
          <t>Complex</t>
        </is>
      </c>
      <c r="H121" s="48" t="inlineStr">
        <is>
          <t>quarterly_portfolio_flow</t>
        </is>
      </c>
      <c r="I121" s="48" t="inlineStr">
        <is>
          <t>What is the quarterly trend of projects started, due, completed, and overdue?</t>
        </is>
      </c>
      <c r="J121" s="48" t="inlineStr">
        <is>
          <t>Show portfolio inflow and delivery outcomes by quarter.</t>
        </is>
      </c>
      <c r="K121" s="48" t="inlineStr">
        <is>
          <t>Is the organisation taking on work faster than it completes it?</t>
        </is>
      </c>
      <c r="L121" s="48" t="inlineStr">
        <is>
          <t>start_date; end_date; completion_status_types</t>
        </is>
      </c>
      <c r="M121" s="48" t="inlineStr">
        <is>
          <t>Assess portfolio throughput and capacity pressure.</t>
        </is>
      </c>
      <c r="N121" s="48" t="inlineStr">
        <is>
          <t>Count projects by start_date, end_date, and configured completed status; calculate overdue projects at each quarter end.</t>
        </is>
      </c>
      <c r="O121" s="48" t="inlineStr">
        <is>
          <t>tbl_projects; tbl_project_status</t>
        </is>
      </c>
      <c r="P121" s="48" t="inlineStr">
        <is>
          <t>Available – KPI Rule Required</t>
        </is>
      </c>
      <c r="Q121" s="48" t="inlineStr">
        <is>
          <t>Predefined multi-table KPI / trend aggregation</t>
        </is>
      </c>
      <c r="R121" s="52" t="inlineStr">
        <is>
          <t>High</t>
        </is>
      </c>
      <c r="S121" s="48" t="inlineStr">
        <is>
          <t>Orbit KPI/Watchlist Tool with fixed formulas; cache intent/query plan, execute against live data; use Mesh only to explain computed results.</t>
        </is>
      </c>
      <c r="T121" s="48" t="inlineStr">
        <is>
          <t>Pending – Complex KPI SQL Design</t>
        </is>
      </c>
      <c r="U121" s="48" t="n"/>
      <c r="V121" s="48" t="inlineStr"/>
    </row>
    <row r="122" ht="72" customHeight="1" s="38">
      <c r="A122" s="53" t="inlineStr">
        <is>
          <t>New – Executive / KPI / Dashboard</t>
        </is>
      </c>
      <c r="B122" s="48" t="inlineStr"/>
      <c r="C122" s="48" t="inlineStr">
        <is>
          <t>CEO / Delivery Head / PMO</t>
        </is>
      </c>
      <c r="D122" s="51" t="inlineStr">
        <is>
          <t>High</t>
        </is>
      </c>
      <c r="E122" s="48" t="inlineStr">
        <is>
          <t>Executive Portfolio</t>
        </is>
      </c>
      <c r="F122" s="48" t="inlineStr">
        <is>
          <t>Exception / KPI</t>
        </is>
      </c>
      <c r="G122" s="51" t="inlineStr">
        <is>
          <t>Complex</t>
        </is>
      </c>
      <c r="H122" s="48" t="inlineStr">
        <is>
          <t>stage_aging</t>
        </is>
      </c>
      <c r="I122" s="48" t="inlineStr">
        <is>
          <t>Which projects have remained in the same delivery stage for too long?</t>
        </is>
      </c>
      <c r="J122" s="48" t="inlineStr">
        <is>
          <t>Show stage aging across active projects.</t>
        </is>
      </c>
      <c r="K122" s="48" t="inlineStr">
        <is>
          <t>Which projects appear stuck in their current stage?</t>
        </is>
      </c>
      <c r="L122" s="48" t="inlineStr">
        <is>
          <t>as_of_date; stage_age_thresholds</t>
        </is>
      </c>
      <c r="M122" s="48" t="inlineStr">
        <is>
          <t>Identify stalled projects while clearly exposing the data limitation.</t>
        </is>
      </c>
      <c r="N122" s="48" t="inlineStr">
        <is>
          <t>Use project_stage_id and update_date as an available proxy for stage aging; exact stage-entry age requires history and should be labelled approximate.</t>
        </is>
      </c>
      <c r="O122" s="48" t="inlineStr">
        <is>
          <t>tbl_projects; tbl_project_stages</t>
        </is>
      </c>
      <c r="P122" s="48" t="inlineStr">
        <is>
          <t>Available – KPI Rule Required</t>
        </is>
      </c>
      <c r="Q122" s="48" t="inlineStr">
        <is>
          <t>Predefined multi-table KPI / trend aggregation</t>
        </is>
      </c>
      <c r="R122" s="52" t="inlineStr">
        <is>
          <t>High</t>
        </is>
      </c>
      <c r="S122" s="48" t="inlineStr">
        <is>
          <t>Orbit KPI/Watchlist Tool with fixed formulas; cache intent/query plan, execute against live data; use Mesh only to explain computed results.</t>
        </is>
      </c>
      <c r="T122" s="48" t="inlineStr">
        <is>
          <t>Pending – Complex KPI SQL Design</t>
        </is>
      </c>
      <c r="U122" s="48" t="n"/>
      <c r="V122" s="48" t="inlineStr">
        <is>
          <t>Approximate metric because project stage history is not populated.</t>
        </is>
      </c>
    </row>
    <row r="123" ht="72" customHeight="1" s="38">
      <c r="A123" s="53" t="inlineStr">
        <is>
          <t>New – Executive / KPI / Dashboard</t>
        </is>
      </c>
      <c r="B123" s="48" t="inlineStr"/>
      <c r="C123" s="48" t="inlineStr">
        <is>
          <t>CEO / Delivery Head / PMO</t>
        </is>
      </c>
      <c r="D123" s="51" t="inlineStr">
        <is>
          <t>High</t>
        </is>
      </c>
      <c r="E123" s="48" t="inlineStr">
        <is>
          <t>Delivery Health</t>
        </is>
      </c>
      <c r="F123" s="48" t="inlineStr">
        <is>
          <t>Exception / Diagnostic</t>
        </is>
      </c>
      <c r="G123" s="51" t="inlineStr">
        <is>
          <t>Complex</t>
        </is>
      </c>
      <c r="H123" s="48" t="inlineStr">
        <is>
          <t>active_projects_without_recent_activity</t>
        </is>
      </c>
      <c r="I123" s="48" t="inlineStr">
        <is>
          <t>Which active projects show no recent task, issue, risk, timesheet, or summary activity?</t>
        </is>
      </c>
      <c r="J123" s="48" t="inlineStr">
        <is>
          <t>Find active projects that appear dormant.</t>
        </is>
      </c>
      <c r="K123" s="48" t="inlineStr">
        <is>
          <t>Which projects have had no operational activity in the last :days days?</t>
        </is>
      </c>
      <c r="L123" s="48" t="inlineStr">
        <is>
          <t>days; as_of_date</t>
        </is>
      </c>
      <c r="M123" s="48" t="inlineStr">
        <is>
          <t>Detect abandoned, inaccurately active, or poorly maintained projects.</t>
        </is>
      </c>
      <c r="N123" s="48" t="inlineStr">
        <is>
          <t>Calculate the latest activity date across project update, task update, issue update, risk update/history, timesheet, and executive summary.</t>
        </is>
      </c>
      <c r="O123" s="48" t="inlineStr">
        <is>
          <t>tbl_projects; tbl_project_tasks; tbl_project_issues; tbl_risk; tbl_risk_history; tbl_timesheets; tbl_project_executive_summary</t>
        </is>
      </c>
      <c r="P123" s="48" t="inlineStr">
        <is>
          <t>Available – KPI Rule Required</t>
        </is>
      </c>
      <c r="Q123" s="48" t="inlineStr">
        <is>
          <t>Predefined multi-table KPI / trend aggregation</t>
        </is>
      </c>
      <c r="R123" s="52" t="inlineStr">
        <is>
          <t>High</t>
        </is>
      </c>
      <c r="S123" s="48" t="inlineStr">
        <is>
          <t>Orbit KPI/Watchlist Tool with fixed formulas; cache intent/query plan, execute against live data; use Mesh only to explain computed results.</t>
        </is>
      </c>
      <c r="T123" s="48" t="inlineStr">
        <is>
          <t>Pending – Complex KPI SQL Design</t>
        </is>
      </c>
      <c r="U123" s="48" t="n"/>
      <c r="V123" s="48" t="inlineStr"/>
    </row>
    <row r="124" ht="72" customHeight="1" s="38">
      <c r="A124" s="53" t="inlineStr">
        <is>
          <t>New – Executive / KPI / Dashboard</t>
        </is>
      </c>
      <c r="B124" s="48" t="inlineStr"/>
      <c r="C124" s="48" t="inlineStr">
        <is>
          <t>Delivery Head / PMO / PM</t>
        </is>
      </c>
      <c r="D124" s="51" t="inlineStr">
        <is>
          <t>High</t>
        </is>
      </c>
      <c r="E124" s="48" t="inlineStr">
        <is>
          <t>Delivery Health</t>
        </is>
      </c>
      <c r="F124" s="48" t="inlineStr">
        <is>
          <t>Exception / Diagnostic</t>
        </is>
      </c>
      <c r="G124" s="51" t="inlineStr">
        <is>
          <t>Complex</t>
        </is>
      </c>
      <c r="H124" s="48" t="inlineStr">
        <is>
          <t>project_end_before_open_task_due</t>
        </is>
      </c>
      <c r="I124" s="48" t="inlineStr">
        <is>
          <t>Which projects have open tasks due after the project end date?</t>
        </is>
      </c>
      <c r="J124" s="48" t="inlineStr">
        <is>
          <t>Show project schedules that are internally inconsistent.</t>
        </is>
      </c>
      <c r="K124" s="48" t="inlineStr">
        <is>
          <t>Which committed project dates are earlier than their remaining task deadlines?</t>
        </is>
      </c>
      <c r="L124" s="48" t="inlineStr">
        <is>
          <t>as_of_date</t>
        </is>
      </c>
      <c r="M124" s="48" t="inlineStr">
        <is>
          <t>Identify schedule-plan inconsistencies requiring rebaselining.</t>
        </is>
      </c>
      <c r="N124" s="48" t="inlineStr">
        <is>
          <t>Find active/open tasks where task.due_date &gt; project.end_date; summarise count, latest due date, and high-priority exposure by project.</t>
        </is>
      </c>
      <c r="O124" s="48" t="inlineStr">
        <is>
          <t>tbl_projects; tbl_project_tasks; tbl_project_task_status</t>
        </is>
      </c>
      <c r="P124" s="48" t="inlineStr">
        <is>
          <t>Available – KPI Rule Required</t>
        </is>
      </c>
      <c r="Q124" s="48" t="inlineStr">
        <is>
          <t>Predefined multi-table KPI / trend aggregation</t>
        </is>
      </c>
      <c r="R124" s="52" t="inlineStr">
        <is>
          <t>High</t>
        </is>
      </c>
      <c r="S124" s="48" t="inlineStr">
        <is>
          <t>Orbit KPI/Watchlist Tool with fixed formulas; cache intent/query plan, execute against live data; use Mesh only to explain computed results.</t>
        </is>
      </c>
      <c r="T124" s="48" t="inlineStr">
        <is>
          <t>Pending – Complex KPI SQL Design</t>
        </is>
      </c>
      <c r="U124" s="48" t="n"/>
      <c r="V124" s="48" t="inlineStr"/>
    </row>
    <row r="125" ht="72" customHeight="1" s="38">
      <c r="A125" s="53" t="inlineStr">
        <is>
          <t>New – Executive / KPI / Dashboard</t>
        </is>
      </c>
      <c r="B125" s="48" t="inlineStr"/>
      <c r="C125" s="48" t="inlineStr">
        <is>
          <t>Delivery Head / PM / Team Lead</t>
        </is>
      </c>
      <c r="D125" s="51" t="inlineStr">
        <is>
          <t>High</t>
        </is>
      </c>
      <c r="E125" s="48" t="inlineStr">
        <is>
          <t>Tasks</t>
        </is>
      </c>
      <c r="F125" s="48" t="inlineStr">
        <is>
          <t>Executive Composite KPI</t>
        </is>
      </c>
      <c r="G125" s="52" t="inlineStr">
        <is>
          <t>Very Complex</t>
        </is>
      </c>
      <c r="H125" s="48" t="inlineStr">
        <is>
          <t>critical_bottleneck_tasks</t>
        </is>
      </c>
      <c r="I125" s="48" t="inlineStr">
        <is>
          <t>Which incomplete tasks are blocking the largest number of dependent tasks?</t>
        </is>
      </c>
      <c r="J125" s="48" t="inlineStr">
        <is>
          <t>Rank overdue bottleneck tasks by downstream dependency count.</t>
        </is>
      </c>
      <c r="K125" s="48" t="inlineStr">
        <is>
          <t>What tasks create the greatest delivery bottleneck?</t>
        </is>
      </c>
      <c r="L125" s="48" t="inlineStr">
        <is>
          <t>project_identifier; as_of_date; top_n</t>
        </is>
      </c>
      <c r="M125" s="48" t="inlineStr">
        <is>
          <t>Focus execution on blockers with the largest downstream impact.</t>
        </is>
      </c>
      <c r="N125" s="48" t="inlineStr">
        <is>
          <t>Count tasks whose dependent_task_id points to each incomplete task; combine downstream count, overdue days, priority, RAG, and assignee availability.</t>
        </is>
      </c>
      <c r="O125" s="48" t="inlineStr">
        <is>
          <t>tbl_project_tasks; tbl_project_task_status; tbl_project_task_users; tbl_projects</t>
        </is>
      </c>
      <c r="P125" s="48" t="inlineStr">
        <is>
          <t>Available – KPI Rule Required</t>
        </is>
      </c>
      <c r="Q125" s="48" t="inlineStr">
        <is>
          <t>Composite multi-table ranking</t>
        </is>
      </c>
      <c r="R125" s="52" t="inlineStr">
        <is>
          <t>High</t>
        </is>
      </c>
      <c r="S125" s="48" t="inlineStr">
        <is>
          <t>Orbit KPI/Watchlist Tool with fixed formulas; cache intent/query plan, execute against live data; use Mesh only to explain computed results.</t>
        </is>
      </c>
      <c r="T125" s="48" t="inlineStr">
        <is>
          <t>Pending – Complex KPI SQL Design</t>
        </is>
      </c>
      <c r="U125" s="48" t="n"/>
      <c r="V125" s="48" t="inlineStr"/>
    </row>
    <row r="126" ht="72" customHeight="1" s="38">
      <c r="A126" s="53" t="inlineStr">
        <is>
          <t>New – Executive / KPI / Dashboard</t>
        </is>
      </c>
      <c r="B126" s="48" t="inlineStr"/>
      <c r="C126" s="48" t="inlineStr">
        <is>
          <t>Delivery Head / Portfolio Head / PMO</t>
        </is>
      </c>
      <c r="D126" s="51" t="inlineStr">
        <is>
          <t>High</t>
        </is>
      </c>
      <c r="E126" s="48" t="inlineStr">
        <is>
          <t>Tasks</t>
        </is>
      </c>
      <c r="F126" s="48" t="inlineStr">
        <is>
          <t>Dashboard KPI</t>
        </is>
      </c>
      <c r="G126" s="51" t="inlineStr">
        <is>
          <t>Complex</t>
        </is>
      </c>
      <c r="H126" s="48" t="inlineStr">
        <is>
          <t>high_priority_backlog_concentration</t>
        </is>
      </c>
      <c r="I126" s="48" t="inlineStr">
        <is>
          <t>Which projects contain the highest concentration of open High-priority or Red-RAG tasks?</t>
        </is>
      </c>
      <c r="J126" s="48" t="inlineStr">
        <is>
          <t>Rank projects by critical task backlog.</t>
        </is>
      </c>
      <c r="K126" s="48" t="inlineStr">
        <is>
          <t>Where is urgent delivery work concentrated?</t>
        </is>
      </c>
      <c r="L126" s="48" t="inlineStr">
        <is>
          <t>as_of_date; top_n</t>
        </is>
      </c>
      <c r="M126" s="48" t="inlineStr">
        <is>
          <t>Prioritise portfolio recovery actions.</t>
        </is>
      </c>
      <c r="N126" s="48" t="inlineStr">
        <is>
          <t>Critical backlog ratio = open High-priority or configured Red-RAG tasks ÷ all open tasks; include count and overdue days.</t>
        </is>
      </c>
      <c r="O126" s="48" t="inlineStr">
        <is>
          <t>tbl_projects; tbl_project_tasks; tbl_project_task_status</t>
        </is>
      </c>
      <c r="P126" s="48" t="inlineStr">
        <is>
          <t>Available – KPI Rule Required</t>
        </is>
      </c>
      <c r="Q126" s="48" t="inlineStr">
        <is>
          <t>Predefined multi-table KPI / trend aggregation</t>
        </is>
      </c>
      <c r="R126" s="52" t="inlineStr">
        <is>
          <t>High</t>
        </is>
      </c>
      <c r="S126" s="48" t="inlineStr">
        <is>
          <t>Orbit KPI/Watchlist Tool with fixed formulas; cache intent/query plan, execute against live data; use Mesh only to explain computed results.</t>
        </is>
      </c>
      <c r="T126" s="48" t="inlineStr">
        <is>
          <t>Pending – Complex KPI SQL Design</t>
        </is>
      </c>
      <c r="U126" s="48" t="n"/>
      <c r="V126" s="48" t="inlineStr"/>
    </row>
    <row r="127" ht="72" customHeight="1" s="38">
      <c r="A127" s="53" t="inlineStr">
        <is>
          <t>New – Executive / KPI / Dashboard</t>
        </is>
      </c>
      <c r="B127" s="48" t="inlineStr"/>
      <c r="C127" s="48" t="inlineStr">
        <is>
          <t>PM / Team Lead / Delivery Head</t>
        </is>
      </c>
      <c r="D127" s="51" t="inlineStr">
        <is>
          <t>High</t>
        </is>
      </c>
      <c r="E127" s="48" t="inlineStr">
        <is>
          <t>Tasks</t>
        </is>
      </c>
      <c r="F127" s="48" t="inlineStr">
        <is>
          <t>Exception / KPI</t>
        </is>
      </c>
      <c r="G127" s="51" t="inlineStr">
        <is>
          <t>Complex</t>
        </is>
      </c>
      <c r="H127" s="48" t="inlineStr">
        <is>
          <t>tasks_due_soon_low_completion</t>
        </is>
      </c>
      <c r="I127" s="48" t="inlineStr">
        <is>
          <t>Which tasks are due within :days days but remain below :completion_percent complete?</t>
        </is>
      </c>
      <c r="J127" s="48" t="inlineStr">
        <is>
          <t>Show near-term tasks at risk of missing due dates.</t>
        </is>
      </c>
      <c r="K127" s="48" t="inlineStr">
        <is>
          <t>What upcoming work needs immediate action?</t>
        </is>
      </c>
      <c r="L127" s="48" t="inlineStr">
        <is>
          <t>days; completion_percent; as_of_date; optional_project</t>
        </is>
      </c>
      <c r="M127" s="48" t="inlineStr">
        <is>
          <t>Create a proactive short-term execution watchlist.</t>
        </is>
      </c>
      <c r="N127" s="48" t="inlineStr">
        <is>
          <t>Filter open tasks by due-date horizon and percent_complete threshold; rank by priority, RAG, estimate_complete, and dependency impact.</t>
        </is>
      </c>
      <c r="O127" s="48" t="inlineStr">
        <is>
          <t>tbl_project_tasks; tbl_project_task_status; tbl_projects</t>
        </is>
      </c>
      <c r="P127" s="48" t="inlineStr">
        <is>
          <t>Available – KPI Rule Required</t>
        </is>
      </c>
      <c r="Q127" s="48" t="inlineStr">
        <is>
          <t>Predefined multi-table KPI / trend aggregation</t>
        </is>
      </c>
      <c r="R127" s="52" t="inlineStr">
        <is>
          <t>High</t>
        </is>
      </c>
      <c r="S127" s="48" t="inlineStr">
        <is>
          <t>Orbit KPI/Watchlist Tool with fixed formulas; cache intent/query plan, execute against live data; use Mesh only to explain computed results.</t>
        </is>
      </c>
      <c r="T127" s="48" t="inlineStr">
        <is>
          <t>Pending – Complex KPI SQL Design</t>
        </is>
      </c>
      <c r="U127" s="48" t="n"/>
      <c r="V127" s="48" t="inlineStr"/>
    </row>
    <row r="128" ht="72" customHeight="1" s="38">
      <c r="A128" s="53" t="inlineStr">
        <is>
          <t>New – Executive / KPI / Dashboard</t>
        </is>
      </c>
      <c r="B128" s="48" t="inlineStr"/>
      <c r="C128" s="48" t="inlineStr">
        <is>
          <t>Delivery Head / PMO / Finance</t>
        </is>
      </c>
      <c r="D128" s="51" t="inlineStr">
        <is>
          <t>High</t>
        </is>
      </c>
      <c r="E128" s="48" t="inlineStr">
        <is>
          <t>Tasks</t>
        </is>
      </c>
      <c r="F128" s="48" t="inlineStr">
        <is>
          <t>KPI / Comparative</t>
        </is>
      </c>
      <c r="G128" s="51" t="inlineStr">
        <is>
          <t>Complex</t>
        </is>
      </c>
      <c r="H128" s="48" t="inlineStr">
        <is>
          <t>portfolio_task_estimate_variance</t>
        </is>
      </c>
      <c r="I128" s="48" t="inlineStr">
        <is>
          <t>Which projects and tasks have the largest estimate-to-actual effort variance?</t>
        </is>
      </c>
      <c r="J128" s="48" t="inlineStr">
        <is>
          <t>Rank task overruns across the portfolio.</t>
        </is>
      </c>
      <c r="K128" s="48" t="inlineStr">
        <is>
          <t>Where are estimates least accurate?</t>
        </is>
      </c>
      <c r="L128" s="48" t="inlineStr">
        <is>
          <t>period; top_n; actual_effort_source</t>
        </is>
      </c>
      <c r="M128" s="48" t="inlineStr">
        <is>
          <t>Improve estimation quality and identify overruns.</t>
        </is>
      </c>
      <c r="N128" s="48" t="inlineStr">
        <is>
          <t>Compare task estimate with live timesheet hours; aggregate variance and variance percentage by task, project, PM, type, and client.</t>
        </is>
      </c>
      <c r="O128" s="48" t="inlineStr">
        <is>
          <t>tbl_project_tasks; tbl_timesheets; tbl_projects; tbl_users; tbl_clients</t>
        </is>
      </c>
      <c r="P128" s="48" t="inlineStr">
        <is>
          <t>Available – KPI Rule Required</t>
        </is>
      </c>
      <c r="Q128" s="48" t="inlineStr">
        <is>
          <t>Predefined multi-table KPI / trend aggregation</t>
        </is>
      </c>
      <c r="R128" s="52" t="inlineStr">
        <is>
          <t>High</t>
        </is>
      </c>
      <c r="S128" s="48" t="inlineStr">
        <is>
          <t>Orbit KPI/Watchlist Tool with fixed formulas; cache intent/query plan, execute against live data; use Mesh only to explain computed results.</t>
        </is>
      </c>
      <c r="T128" s="48" t="inlineStr">
        <is>
          <t>Pending – Complex KPI SQL Design</t>
        </is>
      </c>
      <c r="U128" s="48" t="n"/>
      <c r="V128" s="48" t="inlineStr"/>
    </row>
    <row r="129" ht="72" customHeight="1" s="38">
      <c r="A129" s="53" t="inlineStr">
        <is>
          <t>New – Executive / KPI / Dashboard</t>
        </is>
      </c>
      <c r="B129" s="48" t="inlineStr"/>
      <c r="C129" s="48" t="inlineStr">
        <is>
          <t>Delivery Head / PMO / PM</t>
        </is>
      </c>
      <c r="D129" s="51" t="inlineStr">
        <is>
          <t>High</t>
        </is>
      </c>
      <c r="E129" s="48" t="inlineStr">
        <is>
          <t>Tasks</t>
        </is>
      </c>
      <c r="F129" s="48" t="inlineStr">
        <is>
          <t>Exception / KPI</t>
        </is>
      </c>
      <c r="G129" s="51" t="inlineStr">
        <is>
          <t>Complex</t>
        </is>
      </c>
      <c r="H129" s="48" t="inlineStr">
        <is>
          <t>task_completion_timesheet_mismatch</t>
        </is>
      </c>
      <c r="I129" s="48" t="inlineStr">
        <is>
          <t>Which tasks show high completion percentages but little or no recent time logged, or heavy time logged with low completion?</t>
        </is>
      </c>
      <c r="J129" s="48" t="inlineStr">
        <is>
          <t>Find task progress and effort inconsistencies.</t>
        </is>
      </c>
      <c r="K129" s="48" t="inlineStr">
        <is>
          <t>Where does reported completion conflict with timesheet evidence?</t>
        </is>
      </c>
      <c r="L129" s="48" t="inlineStr">
        <is>
          <t>period; completion_thresholds; hours_thresholds</t>
        </is>
      </c>
      <c r="M129" s="48" t="inlineStr">
        <is>
          <t>Detect inaccurate progress reporting and hidden blockers.</t>
        </is>
      </c>
      <c r="N129" s="48" t="inlineStr">
        <is>
          <t>Compare task.percent_complete with timesheet hours during the selected period and task estimate; flag both mismatch directions.</t>
        </is>
      </c>
      <c r="O129" s="48" t="inlineStr">
        <is>
          <t>tbl_project_tasks; tbl_timesheets; tbl_projects</t>
        </is>
      </c>
      <c r="P129" s="48" t="inlineStr">
        <is>
          <t>Available – KPI Rule Required</t>
        </is>
      </c>
      <c r="Q129" s="48" t="inlineStr">
        <is>
          <t>Predefined multi-table KPI / trend aggregation</t>
        </is>
      </c>
      <c r="R129" s="52" t="inlineStr">
        <is>
          <t>High</t>
        </is>
      </c>
      <c r="S129" s="48" t="inlineStr">
        <is>
          <t>Orbit KPI/Watchlist Tool with fixed formulas; cache intent/query plan, execute against live data; use Mesh only to explain computed results.</t>
        </is>
      </c>
      <c r="T129" s="48" t="inlineStr">
        <is>
          <t>Pending – Complex KPI SQL Design</t>
        </is>
      </c>
      <c r="U129" s="48" t="n"/>
      <c r="V129" s="48" t="inlineStr"/>
    </row>
    <row r="130" ht="72" customHeight="1" s="38">
      <c r="A130" s="53" t="inlineStr">
        <is>
          <t>New – Executive / KPI / Dashboard</t>
        </is>
      </c>
      <c r="B130" s="48" t="inlineStr"/>
      <c r="C130" s="48" t="inlineStr">
        <is>
          <t>CEO / Delivery Head / PMO</t>
        </is>
      </c>
      <c r="D130" s="51" t="inlineStr">
        <is>
          <t>High</t>
        </is>
      </c>
      <c r="E130" s="48" t="inlineStr">
        <is>
          <t>Delivery Health</t>
        </is>
      </c>
      <c r="F130" s="48" t="inlineStr">
        <is>
          <t>Executive Composite KPI</t>
        </is>
      </c>
      <c r="G130" s="52" t="inlineStr">
        <is>
          <t>Very Complex</t>
        </is>
      </c>
      <c r="H130" s="48" t="inlineStr">
        <is>
          <t>project_task_rag_mismatch</t>
        </is>
      </c>
      <c r="I130" s="48" t="inlineStr">
        <is>
          <t>Which projects have a Green project RAG but a significant Red-task backlog?</t>
        </is>
      </c>
      <c r="J130" s="48" t="inlineStr">
        <is>
          <t>Find mismatches between project health and task-level health.</t>
        </is>
      </c>
      <c r="K130" s="48" t="inlineStr">
        <is>
          <t>Where may project RAG be understating delivery risk?</t>
        </is>
      </c>
      <c r="L130" s="48" t="inlineStr">
        <is>
          <t>red_task_ratio_threshold; as_of_date</t>
        </is>
      </c>
      <c r="M130" s="48" t="inlineStr">
        <is>
          <t>Detect optimistic project-level reporting.</t>
        </is>
      </c>
      <c r="N130" s="48" t="inlineStr">
        <is>
          <t>Compare project.rag with count/ratio of open task.rag values and overdue High-priority tasks.</t>
        </is>
      </c>
      <c r="O130" s="48" t="inlineStr">
        <is>
          <t>tbl_projects; tbl_project_tasks; tbl_project_task_status</t>
        </is>
      </c>
      <c r="P130" s="48" t="inlineStr">
        <is>
          <t>Available – KPI Rule Required</t>
        </is>
      </c>
      <c r="Q130" s="48" t="inlineStr">
        <is>
          <t>Composite multi-table ranking</t>
        </is>
      </c>
      <c r="R130" s="52" t="inlineStr">
        <is>
          <t>High</t>
        </is>
      </c>
      <c r="S130" s="48" t="inlineStr">
        <is>
          <t>Orbit KPI/Watchlist Tool with fixed formulas; cache intent/query plan, execute against live data; use Mesh only to explain computed results.</t>
        </is>
      </c>
      <c r="T130" s="48" t="inlineStr">
        <is>
          <t>Pending – Complex KPI SQL Design</t>
        </is>
      </c>
      <c r="U130" s="48" t="n"/>
      <c r="V130" s="48" t="inlineStr"/>
    </row>
    <row r="131" ht="72" customHeight="1" s="38">
      <c r="A131" s="53" t="inlineStr">
        <is>
          <t>New – Executive / KPI / Dashboard</t>
        </is>
      </c>
      <c r="B131" s="48" t="inlineStr"/>
      <c r="C131" s="48" t="inlineStr">
        <is>
          <t>Delivery Head / Resource Manager / PMO</t>
        </is>
      </c>
      <c r="D131" s="51" t="inlineStr">
        <is>
          <t>High</t>
        </is>
      </c>
      <c r="E131" s="48" t="inlineStr">
        <is>
          <t>Tasks</t>
        </is>
      </c>
      <c r="F131" s="48" t="inlineStr">
        <is>
          <t>Dashboard KPI</t>
        </is>
      </c>
      <c r="G131" s="51" t="inlineStr">
        <is>
          <t>Complex</t>
        </is>
      </c>
      <c r="H131" s="48" t="inlineStr">
        <is>
          <t>unassigned_task_ratio</t>
        </is>
      </c>
      <c r="I131" s="48" t="inlineStr">
        <is>
          <t>Which projects have the highest percentage of open tasks without active assignees?</t>
        </is>
      </c>
      <c r="J131" s="48" t="inlineStr">
        <is>
          <t>Rank projects by unassigned work.</t>
        </is>
      </c>
      <c r="K131" s="48" t="inlineStr">
        <is>
          <t>Where is delivery work not owned?</t>
        </is>
      </c>
      <c r="L131" s="48" t="inlineStr">
        <is>
          <t>as_of_date; minimum_open_tasks</t>
        </is>
      </c>
      <c r="M131" s="48" t="inlineStr">
        <is>
          <t>Identify execution ownership gaps.</t>
        </is>
      </c>
      <c r="N131" s="48" t="inlineStr">
        <is>
          <t>Open tasks without an active row in tbl_project_task_users ÷ total open tasks, grouped by project and PM.</t>
        </is>
      </c>
      <c r="O131" s="48" t="inlineStr">
        <is>
          <t>tbl_projects; tbl_project_tasks; tbl_project_task_status; tbl_project_task_users; tbl_users</t>
        </is>
      </c>
      <c r="P131" s="48" t="inlineStr">
        <is>
          <t>Available – KPI Rule Required</t>
        </is>
      </c>
      <c r="Q131" s="48" t="inlineStr">
        <is>
          <t>Predefined multi-table KPI / trend aggregation</t>
        </is>
      </c>
      <c r="R131" s="52" t="inlineStr">
        <is>
          <t>High</t>
        </is>
      </c>
      <c r="S131" s="48" t="inlineStr">
        <is>
          <t>Orbit KPI/Watchlist Tool with fixed formulas; cache intent/query plan, execute against live data; use Mesh only to explain computed results.</t>
        </is>
      </c>
      <c r="T131" s="48" t="inlineStr">
        <is>
          <t>Pending – Complex KPI SQL Design</t>
        </is>
      </c>
      <c r="U131" s="48" t="n"/>
      <c r="V131" s="48" t="inlineStr"/>
    </row>
    <row r="132" ht="72" customHeight="1" s="38">
      <c r="A132" s="53" t="inlineStr">
        <is>
          <t>New – Executive / KPI / Dashboard</t>
        </is>
      </c>
      <c r="B132" s="48" t="inlineStr"/>
      <c r="C132" s="48" t="inlineStr">
        <is>
          <t>Delivery Head / Quality / PMO</t>
        </is>
      </c>
      <c r="D132" s="51" t="inlineStr">
        <is>
          <t>High</t>
        </is>
      </c>
      <c r="E132" s="48" t="inlineStr">
        <is>
          <t>Governance</t>
        </is>
      </c>
      <c r="F132" s="48" t="inlineStr">
        <is>
          <t>Dashboard KPI</t>
        </is>
      </c>
      <c r="G132" s="51" t="inlineStr">
        <is>
          <t>Complex</t>
        </is>
      </c>
      <c r="H132" s="48" t="inlineStr">
        <is>
          <t>acceptance_criteria_completeness</t>
        </is>
      </c>
      <c r="I132" s="48" t="inlineStr">
        <is>
          <t>Which active projects have the lowest acceptance-criteria coverage on open tasks?</t>
        </is>
      </c>
      <c r="J132" s="48" t="inlineStr">
        <is>
          <t>Show projects with incomplete task acceptance criteria.</t>
        </is>
      </c>
      <c r="K132" s="48" t="inlineStr">
        <is>
          <t>Where is scope validation weak?</t>
        </is>
      </c>
      <c r="L132" s="48" t="inlineStr">
        <is>
          <t>as_of_date; minimum_task_count</t>
        </is>
      </c>
      <c r="M132" s="48" t="inlineStr">
        <is>
          <t>Improve delivery quality and reduce ambiguity.</t>
        </is>
      </c>
      <c r="N132" s="48" t="inlineStr">
        <is>
          <t>Percentage of active/open tasks with non-empty acceptance_criteria; rank low-coverage projects and include deal value/RAG.</t>
        </is>
      </c>
      <c r="O132" s="48" t="inlineStr">
        <is>
          <t>tbl_projects; tbl_project_tasks; tbl_project_task_status</t>
        </is>
      </c>
      <c r="P132" s="48" t="inlineStr">
        <is>
          <t>Available – KPI Rule Required</t>
        </is>
      </c>
      <c r="Q132" s="48" t="inlineStr">
        <is>
          <t>Predefined multi-table KPI / trend aggregation</t>
        </is>
      </c>
      <c r="R132" s="52" t="inlineStr">
        <is>
          <t>High</t>
        </is>
      </c>
      <c r="S132" s="48" t="inlineStr">
        <is>
          <t>Orbit KPI/Watchlist Tool with fixed formulas; cache intent/query plan, execute against live data; use Mesh only to explain computed results.</t>
        </is>
      </c>
      <c r="T132" s="48" t="inlineStr">
        <is>
          <t>Pending – Complex KPI SQL Design</t>
        </is>
      </c>
      <c r="U132" s="48" t="n"/>
      <c r="V132" s="48" t="inlineStr"/>
    </row>
    <row r="133" ht="72" customHeight="1" s="38">
      <c r="A133" s="53" t="inlineStr">
        <is>
          <t>New – Executive / KPI / Dashboard</t>
        </is>
      </c>
      <c r="B133" s="48" t="inlineStr"/>
      <c r="C133" s="48" t="inlineStr">
        <is>
          <t>CEO / Delivery Head / Quality</t>
        </is>
      </c>
      <c r="D133" s="51" t="inlineStr">
        <is>
          <t>High</t>
        </is>
      </c>
      <c r="E133" s="48" t="inlineStr">
        <is>
          <t>Issues</t>
        </is>
      </c>
      <c r="F133" s="48" t="inlineStr">
        <is>
          <t>Trend / Dashboard KPI</t>
        </is>
      </c>
      <c r="G133" s="51" t="inlineStr">
        <is>
          <t>Complex</t>
        </is>
      </c>
      <c r="H133" s="48" t="inlineStr">
        <is>
          <t>issue_backlog_trend</t>
        </is>
      </c>
      <c r="I133" s="48" t="inlineStr">
        <is>
          <t>Is the issue backlog increasing or decreasing by project over the last :months months?</t>
        </is>
      </c>
      <c r="J133" s="48" t="inlineStr">
        <is>
          <t>Show issue creation versus closure trend.</t>
        </is>
      </c>
      <c r="K133" s="48" t="inlineStr">
        <is>
          <t>Which projects are accumulating issues faster than they close them?</t>
        </is>
      </c>
      <c r="L133" s="48" t="inlineStr">
        <is>
          <t>months; time_bucket</t>
        </is>
      </c>
      <c r="M133" s="48" t="inlineStr">
        <is>
          <t>Detect deteriorating quality before it affects delivery.</t>
        </is>
      </c>
      <c r="N133" s="48" t="inlineStr">
        <is>
          <t>For each period, count issues raised and closed using date_raised/date_closed; calculate net backlog change and rolling closure ratio.</t>
        </is>
      </c>
      <c r="O133" s="48" t="inlineStr">
        <is>
          <t>tbl_projects; tbl_project_issues; tbl_project_issue_status</t>
        </is>
      </c>
      <c r="P133" s="48" t="inlineStr">
        <is>
          <t>Available – KPI Rule Required</t>
        </is>
      </c>
      <c r="Q133" s="48" t="inlineStr">
        <is>
          <t>Predefined multi-table KPI / trend aggregation</t>
        </is>
      </c>
      <c r="R133" s="52" t="inlineStr">
        <is>
          <t>High</t>
        </is>
      </c>
      <c r="S133" s="48" t="inlineStr">
        <is>
          <t>Orbit KPI/Watchlist Tool with fixed formulas; cache intent/query plan, execute against live data; use Mesh only to explain computed results.</t>
        </is>
      </c>
      <c r="T133" s="48" t="inlineStr">
        <is>
          <t>Pending – Complex KPI SQL Design</t>
        </is>
      </c>
      <c r="U133" s="48" t="n"/>
      <c r="V133" s="48" t="inlineStr"/>
    </row>
    <row r="134" ht="72" customHeight="1" s="38">
      <c r="A134" s="53" t="inlineStr">
        <is>
          <t>New – Executive / KPI / Dashboard</t>
        </is>
      </c>
      <c r="B134" s="48" t="inlineStr"/>
      <c r="C134" s="48" t="inlineStr">
        <is>
          <t>Delivery Head / Quality / PMO</t>
        </is>
      </c>
      <c r="D134" s="51" t="inlineStr">
        <is>
          <t>High</t>
        </is>
      </c>
      <c r="E134" s="48" t="inlineStr">
        <is>
          <t>Issues</t>
        </is>
      </c>
      <c r="F134" s="48" t="inlineStr">
        <is>
          <t>KPI / Comparative</t>
        </is>
      </c>
      <c r="G134" s="51" t="inlineStr">
        <is>
          <t>Complex</t>
        </is>
      </c>
      <c r="H134" s="48" t="inlineStr">
        <is>
          <t>issue_aging_closure_performance</t>
        </is>
      </c>
      <c r="I134" s="48" t="inlineStr">
        <is>
          <t>Which projects have the oldest unresolved issues and the slowest closure performance?</t>
        </is>
      </c>
      <c r="J134" s="48" t="inlineStr">
        <is>
          <t>Rank projects by issue aging and time to close.</t>
        </is>
      </c>
      <c r="K134" s="48" t="inlineStr">
        <is>
          <t>Where is issue resolution performance weakest?</t>
        </is>
      </c>
      <c r="L134" s="48" t="inlineStr">
        <is>
          <t>as_of_date; period; minimum_issue_count</t>
        </is>
      </c>
      <c r="M134" s="48" t="inlineStr">
        <is>
          <t>Prioritise issue-resolution process improvements.</t>
        </is>
      </c>
      <c r="N134" s="48" t="inlineStr">
        <is>
          <t>Open age = as_of_date - date_raised. Closed cycle time = date_closed - date_raised. Summarise median/average, overdue ratio, and closure rate.</t>
        </is>
      </c>
      <c r="O134" s="48" t="inlineStr">
        <is>
          <t>tbl_projects; tbl_project_issues; tbl_project_issue_status</t>
        </is>
      </c>
      <c r="P134" s="48" t="inlineStr">
        <is>
          <t>Available – KPI Rule Required</t>
        </is>
      </c>
      <c r="Q134" s="48" t="inlineStr">
        <is>
          <t>Predefined multi-table KPI / trend aggregation</t>
        </is>
      </c>
      <c r="R134" s="52" t="inlineStr">
        <is>
          <t>High</t>
        </is>
      </c>
      <c r="S134" s="48" t="inlineStr">
        <is>
          <t>Orbit KPI/Watchlist Tool with fixed formulas; cache intent/query plan, execute against live data; use Mesh only to explain computed results.</t>
        </is>
      </c>
      <c r="T134" s="48" t="inlineStr">
        <is>
          <t>Pending – Complex KPI SQL Design</t>
        </is>
      </c>
      <c r="U134" s="48" t="n"/>
      <c r="V134" s="48" t="inlineStr"/>
    </row>
    <row r="135" ht="72" customHeight="1" s="38">
      <c r="A135" s="53" t="inlineStr">
        <is>
          <t>New – Executive / KPI / Dashboard</t>
        </is>
      </c>
      <c r="B135" s="48" t="inlineStr"/>
      <c r="C135" s="48" t="inlineStr">
        <is>
          <t>CEO / Quality Head / Delivery Head</t>
        </is>
      </c>
      <c r="D135" s="51" t="inlineStr">
        <is>
          <t>High</t>
        </is>
      </c>
      <c r="E135" s="48" t="inlineStr">
        <is>
          <t>Issues</t>
        </is>
      </c>
      <c r="F135" s="48" t="inlineStr">
        <is>
          <t>Executive KPI / Dashboard</t>
        </is>
      </c>
      <c r="G135" s="51" t="inlineStr">
        <is>
          <t>Complex</t>
        </is>
      </c>
      <c r="H135" s="48" t="inlineStr">
        <is>
          <t>defect_leakage_rate</t>
        </is>
      </c>
      <c r="I135" s="48" t="inlineStr">
        <is>
          <t>Which projects have the highest defect leakage from earlier origination phases into later detection phases?</t>
        </is>
      </c>
      <c r="J135" s="48" t="inlineStr">
        <is>
          <t>Show defect leakage by project and phase.</t>
        </is>
      </c>
      <c r="K135" s="48" t="inlineStr">
        <is>
          <t>Where are defects being found later than they should be?</t>
        </is>
      </c>
      <c r="L135" s="48" t="inlineStr">
        <is>
          <t>period; phase_order_rule; minimum_issue_count</t>
        </is>
      </c>
      <c r="M135" s="48" t="inlineStr">
        <is>
          <t>Measure quality effectiveness and prevent expensive late defects.</t>
        </is>
      </c>
      <c r="N135" s="48" t="inlineStr">
        <is>
          <t>Use defect_origination_phase and defect_detection_phase to calculate leakage where detection phase is later; segment by severity and project.</t>
        </is>
      </c>
      <c r="O135" s="48" t="inlineStr">
        <is>
          <t>tbl_projects; tbl_project_issues</t>
        </is>
      </c>
      <c r="P135" s="48" t="inlineStr">
        <is>
          <t>Available – KPI Rule Required</t>
        </is>
      </c>
      <c r="Q135" s="48" t="inlineStr">
        <is>
          <t>Predefined multi-table KPI / trend aggregation</t>
        </is>
      </c>
      <c r="R135" s="52" t="inlineStr">
        <is>
          <t>High</t>
        </is>
      </c>
      <c r="S135" s="48" t="inlineStr">
        <is>
          <t>Orbit KPI/Watchlist Tool with fixed formulas; cache intent/query plan, execute against live data; use Mesh only to explain computed results.</t>
        </is>
      </c>
      <c r="T135" s="48" t="inlineStr">
        <is>
          <t>Pending – Complex KPI SQL Design</t>
        </is>
      </c>
      <c r="U135" s="48" t="n"/>
      <c r="V135" s="48" t="inlineStr"/>
    </row>
    <row r="136" ht="72" customHeight="1" s="38">
      <c r="A136" s="53" t="inlineStr">
        <is>
          <t>New – Executive / KPI / Dashboard</t>
        </is>
      </c>
      <c r="B136" s="48" t="inlineStr"/>
      <c r="C136" s="48" t="inlineStr">
        <is>
          <t>CEO / Delivery Head / Finance</t>
        </is>
      </c>
      <c r="D136" s="51" t="inlineStr">
        <is>
          <t>High</t>
        </is>
      </c>
      <c r="E136" s="48" t="inlineStr">
        <is>
          <t>Issues</t>
        </is>
      </c>
      <c r="F136" s="48" t="inlineStr">
        <is>
          <t>Executive Composite KPI</t>
        </is>
      </c>
      <c r="G136" s="52" t="inlineStr">
        <is>
          <t>Very Complex</t>
        </is>
      </c>
      <c r="H136" s="48" t="inlineStr">
        <is>
          <t>overdue_issue_value_exposure</t>
        </is>
      </c>
      <c r="I136" s="48" t="inlineStr">
        <is>
          <t>Which overdue issues create the greatest commercial exposure?</t>
        </is>
      </c>
      <c r="J136" s="48" t="inlineStr">
        <is>
          <t>Rank projects by overdue issue severity and deal value.</t>
        </is>
      </c>
      <c r="K136" s="48" t="inlineStr">
        <is>
          <t>How much deal value is affected by overdue unresolved issues?</t>
        </is>
      </c>
      <c r="L136" s="48" t="inlineStr">
        <is>
          <t>as_of_date; severity_weights; top_n</t>
        </is>
      </c>
      <c r="M136" s="48" t="inlineStr">
        <is>
          <t>Prioritise issue resolution by material business impact.</t>
        </is>
      </c>
      <c r="N136" s="48" t="inlineStr">
        <is>
          <t>Combine overdue_status/planned_closure_date, severity, priority, issue age, project deal_value, and project RAG.</t>
        </is>
      </c>
      <c r="O136" s="48" t="inlineStr">
        <is>
          <t>tbl_projects; tbl_project_issues; tbl_project_issue_status</t>
        </is>
      </c>
      <c r="P136" s="48" t="inlineStr">
        <is>
          <t>Available – KPI Rule Required</t>
        </is>
      </c>
      <c r="Q136" s="48" t="inlineStr">
        <is>
          <t>Composite multi-table ranking</t>
        </is>
      </c>
      <c r="R136" s="52" t="inlineStr">
        <is>
          <t>High</t>
        </is>
      </c>
      <c r="S136" s="48" t="inlineStr">
        <is>
          <t>Orbit KPI/Watchlist Tool with fixed formulas; cache intent/query plan, execute against live data; use Mesh only to explain computed results.</t>
        </is>
      </c>
      <c r="T136" s="48" t="inlineStr">
        <is>
          <t>Pending – Complex KPI SQL Design</t>
        </is>
      </c>
      <c r="U136" s="48" t="n"/>
      <c r="V136" s="48" t="inlineStr"/>
    </row>
    <row r="137" ht="72" customHeight="1" s="38">
      <c r="A137" s="53" t="inlineStr">
        <is>
          <t>New – Executive / KPI / Dashboard</t>
        </is>
      </c>
      <c r="B137" s="48" t="inlineStr"/>
      <c r="C137" s="48" t="inlineStr">
        <is>
          <t>Quality Head / Delivery Head / Audit</t>
        </is>
      </c>
      <c r="D137" s="51" t="inlineStr">
        <is>
          <t>High</t>
        </is>
      </c>
      <c r="E137" s="48" t="inlineStr">
        <is>
          <t>Issues</t>
        </is>
      </c>
      <c r="F137" s="48" t="inlineStr">
        <is>
          <t>Exception / KPI</t>
        </is>
      </c>
      <c r="G137" s="51" t="inlineStr">
        <is>
          <t>Complex</t>
        </is>
      </c>
      <c r="H137" s="48" t="inlineStr">
        <is>
          <t>issues_missing_rca_actions</t>
        </is>
      </c>
      <c r="I137" s="48" t="inlineStr">
        <is>
          <t>Which overdue or closed high-severity issues are missing RCA, correction, or corrective-action details?</t>
        </is>
      </c>
      <c r="J137" s="48" t="inlineStr">
        <is>
          <t>Show issue governance records that are incomplete.</t>
        </is>
      </c>
      <c r="K137" s="48" t="inlineStr">
        <is>
          <t>Which major defects lack documented root-cause and prevention actions?</t>
        </is>
      </c>
      <c r="L137" s="48" t="inlineStr">
        <is>
          <t>severity_threshold; as_of_date</t>
        </is>
      </c>
      <c r="M137" s="48" t="inlineStr">
        <is>
          <t>Strengthen corrective-action governance and prevent recurrence.</t>
        </is>
      </c>
      <c r="N137" s="48" t="inlineStr">
        <is>
          <t>Filter qualifying issues where rca is unset or correction/corrective_action text is empty; group by project, PM, and client.</t>
        </is>
      </c>
      <c r="O137" s="48" t="inlineStr">
        <is>
          <t>tbl_projects; tbl_project_issues</t>
        </is>
      </c>
      <c r="P137" s="48" t="inlineStr">
        <is>
          <t>Available – KPI Rule Required</t>
        </is>
      </c>
      <c r="Q137" s="48" t="inlineStr">
        <is>
          <t>Predefined multi-table KPI / trend aggregation</t>
        </is>
      </c>
      <c r="R137" s="52" t="inlineStr">
        <is>
          <t>High</t>
        </is>
      </c>
      <c r="S137" s="48" t="inlineStr">
        <is>
          <t>Orbit KPI/Watchlist Tool with fixed formulas; cache intent/query plan, execute against live data; use Mesh only to explain computed results.</t>
        </is>
      </c>
      <c r="T137" s="48" t="inlineStr">
        <is>
          <t>Pending – Complex KPI SQL Design</t>
        </is>
      </c>
      <c r="U137" s="48" t="n"/>
      <c r="V137" s="48" t="inlineStr"/>
    </row>
    <row r="138" ht="72" customHeight="1" s="38">
      <c r="A138" s="53" t="inlineStr">
        <is>
          <t>New – Executive / KPI / Dashboard</t>
        </is>
      </c>
      <c r="B138" s="48" t="inlineStr"/>
      <c r="C138" s="48" t="inlineStr">
        <is>
          <t>CEO / Risk Committee / Delivery Head</t>
        </is>
      </c>
      <c r="D138" s="51" t="inlineStr">
        <is>
          <t>High</t>
        </is>
      </c>
      <c r="E138" s="48" t="inlineStr">
        <is>
          <t>Risks</t>
        </is>
      </c>
      <c r="F138" s="48" t="inlineStr">
        <is>
          <t>Executive Composite KPI</t>
        </is>
      </c>
      <c r="G138" s="52" t="inlineStr">
        <is>
          <t>Very Complex</t>
        </is>
      </c>
      <c r="H138" s="48" t="inlineStr">
        <is>
          <t>current_risk_exposure_ranking</t>
        </is>
      </c>
      <c r="I138" s="48" t="inlineStr">
        <is>
          <t>Which projects have the highest current risk exposure?</t>
        </is>
      </c>
      <c r="J138" s="48" t="inlineStr">
        <is>
          <t>Rank projects by probability-impact exposure.</t>
        </is>
      </c>
      <c r="K138" s="48" t="inlineStr">
        <is>
          <t>Where is portfolio risk concentrated today?</t>
        </is>
      </c>
      <c r="L138" s="48" t="inlineStr">
        <is>
          <t>as_of_date; exposure_formula; top_n</t>
        </is>
      </c>
      <c r="M138" s="48" t="inlineStr">
        <is>
          <t>Prioritise portfolio risk treatment.</t>
        </is>
      </c>
      <c r="N138" s="48" t="inlineStr">
        <is>
          <t>Calculate exposure from active risks using probability_value × impact_value or configured rating; aggregate by project and weight by deal value/RAG.</t>
        </is>
      </c>
      <c r="O138" s="48" t="inlineStr">
        <is>
          <t>tbl_projects; tbl_risk; tbl_risk_status; tbl_risk_probability; tbl_risk_impact; tbl_risk_priority</t>
        </is>
      </c>
      <c r="P138" s="48" t="inlineStr">
        <is>
          <t>Available – KPI Rule Required</t>
        </is>
      </c>
      <c r="Q138" s="48" t="inlineStr">
        <is>
          <t>Composite multi-table ranking</t>
        </is>
      </c>
      <c r="R138" s="52" t="inlineStr">
        <is>
          <t>High</t>
        </is>
      </c>
      <c r="S138" s="48" t="inlineStr">
        <is>
          <t>Orbit KPI/Watchlist Tool with fixed formulas; cache intent/query plan, execute against live data; use Mesh only to explain computed results.</t>
        </is>
      </c>
      <c r="T138" s="48" t="inlineStr">
        <is>
          <t>Pending – Complex KPI SQL Design</t>
        </is>
      </c>
      <c r="U138" s="48" t="n"/>
      <c r="V138" s="48" t="inlineStr"/>
    </row>
    <row r="139" ht="72" customHeight="1" s="38">
      <c r="A139" s="53" t="inlineStr">
        <is>
          <t>New – Executive / KPI / Dashboard</t>
        </is>
      </c>
      <c r="B139" s="48" t="inlineStr"/>
      <c r="C139" s="48" t="inlineStr">
        <is>
          <t>CEO / Risk Committee / Delivery Head</t>
        </is>
      </c>
      <c r="D139" s="51" t="inlineStr">
        <is>
          <t>High</t>
        </is>
      </c>
      <c r="E139" s="48" t="inlineStr">
        <is>
          <t>Risks</t>
        </is>
      </c>
      <c r="F139" s="48" t="inlineStr">
        <is>
          <t>KPI / Comparative</t>
        </is>
      </c>
      <c r="G139" s="51" t="inlineStr">
        <is>
          <t>Complex</t>
        </is>
      </c>
      <c r="H139" s="48" t="inlineStr">
        <is>
          <t>residual_risk_after_mitigation</t>
        </is>
      </c>
      <c r="I139" s="48" t="inlineStr">
        <is>
          <t>Which risks remain high after mitigation, and which risks have not improved?</t>
        </is>
      </c>
      <c r="J139" s="48" t="inlineStr">
        <is>
          <t>Compare original and residual risk scores.</t>
        </is>
      </c>
      <c r="K139" s="48" t="inlineStr">
        <is>
          <t>Where has mitigation failed to reduce exposure?</t>
        </is>
      </c>
      <c r="L139" s="48" t="inlineStr">
        <is>
          <t>as_of_date; residual_threshold</t>
        </is>
      </c>
      <c r="M139" s="48" t="inlineStr">
        <is>
          <t>Evaluate mitigation effectiveness and escalate ineffective controls.</t>
        </is>
      </c>
      <c r="N139" s="48" t="inlineStr">
        <is>
          <t>Compare rating or initial probability/impact with revised_probability, revised_impact, and after_mitigation_risk_score; rank no-improvement and worsened risks.</t>
        </is>
      </c>
      <c r="O139" s="48" t="inlineStr">
        <is>
          <t>tbl_risk; tbl_risk_probability; tbl_risk_impact; tbl_projects</t>
        </is>
      </c>
      <c r="P139" s="48" t="inlineStr">
        <is>
          <t>Available – KPI Rule Required</t>
        </is>
      </c>
      <c r="Q139" s="48" t="inlineStr">
        <is>
          <t>Predefined multi-table KPI / trend aggregation</t>
        </is>
      </c>
      <c r="R139" s="52" t="inlineStr">
        <is>
          <t>High</t>
        </is>
      </c>
      <c r="S139" s="48" t="inlineStr">
        <is>
          <t>Orbit KPI/Watchlist Tool with fixed formulas; cache intent/query plan, execute against live data; use Mesh only to explain computed results.</t>
        </is>
      </c>
      <c r="T139" s="48" t="inlineStr">
        <is>
          <t>Pending – Complex KPI SQL Design</t>
        </is>
      </c>
      <c r="U139" s="48" t="n"/>
      <c r="V139" s="48" t="inlineStr"/>
    </row>
    <row r="140" ht="72" customHeight="1" s="38">
      <c r="A140" s="53" t="inlineStr">
        <is>
          <t>New – Executive / KPI / Dashboard</t>
        </is>
      </c>
      <c r="B140" s="48" t="inlineStr"/>
      <c r="C140" s="48" t="inlineStr">
        <is>
          <t>CEO / Risk Committee / Finance</t>
        </is>
      </c>
      <c r="D140" s="51" t="inlineStr">
        <is>
          <t>High</t>
        </is>
      </c>
      <c r="E140" s="48" t="inlineStr">
        <is>
          <t>Risks</t>
        </is>
      </c>
      <c r="F140" s="48" t="inlineStr">
        <is>
          <t>Executive Composite KPI</t>
        </is>
      </c>
      <c r="G140" s="52" t="inlineStr">
        <is>
          <t>Very Complex</t>
        </is>
      </c>
      <c r="H140" s="48" t="inlineStr">
        <is>
          <t>overdue_risk_value_exposure</t>
        </is>
      </c>
      <c r="I140" s="48" t="inlineStr">
        <is>
          <t>Which overdue open risks threaten the greatest project value?</t>
        </is>
      </c>
      <c r="J140" s="48" t="inlineStr">
        <is>
          <t>Rank overdue risks by exposure and deal value.</t>
        </is>
      </c>
      <c r="K140" s="48" t="inlineStr">
        <is>
          <t>How much commercial value is linked to overdue risk actions?</t>
        </is>
      </c>
      <c r="L140" s="48" t="inlineStr">
        <is>
          <t>as_of_date; top_n</t>
        </is>
      </c>
      <c r="M140" s="48" t="inlineStr">
        <is>
          <t>Escalate material overdue risk actions.</t>
        </is>
      </c>
      <c r="N140" s="48" t="inlineStr">
        <is>
          <t>Identify open risks past revised_target_closure_date/target_closure_date; combine exposure, overdue days, deal_value, and project RAG.</t>
        </is>
      </c>
      <c r="O140" s="48" t="inlineStr">
        <is>
          <t>tbl_projects; tbl_risk; tbl_risk_status; tbl_risk_probability; tbl_risk_impact</t>
        </is>
      </c>
      <c r="P140" s="48" t="inlineStr">
        <is>
          <t>Available – KPI Rule Required</t>
        </is>
      </c>
      <c r="Q140" s="48" t="inlineStr">
        <is>
          <t>Composite multi-table ranking</t>
        </is>
      </c>
      <c r="R140" s="52" t="inlineStr">
        <is>
          <t>High</t>
        </is>
      </c>
      <c r="S140" s="48" t="inlineStr">
        <is>
          <t>Orbit KPI/Watchlist Tool with fixed formulas; cache intent/query plan, execute against live data; use Mesh only to explain computed results.</t>
        </is>
      </c>
      <c r="T140" s="48" t="inlineStr">
        <is>
          <t>Pending – Complex KPI SQL Design</t>
        </is>
      </c>
      <c r="U140" s="48" t="n"/>
      <c r="V140" s="48" t="inlineStr"/>
    </row>
    <row r="141" ht="72" customHeight="1" s="38">
      <c r="A141" s="53" t="inlineStr">
        <is>
          <t>New – Executive / KPI / Dashboard</t>
        </is>
      </c>
      <c r="B141" s="48" t="inlineStr"/>
      <c r="C141" s="48" t="inlineStr">
        <is>
          <t>Risk Committee / Delivery Head</t>
        </is>
      </c>
      <c r="D141" s="51" t="inlineStr">
        <is>
          <t>High</t>
        </is>
      </c>
      <c r="E141" s="48" t="inlineStr">
        <is>
          <t>Risks</t>
        </is>
      </c>
      <c r="F141" s="48" t="inlineStr">
        <is>
          <t>Dashboard KPI</t>
        </is>
      </c>
      <c r="G141" s="51" t="inlineStr">
        <is>
          <t>Complex</t>
        </is>
      </c>
      <c r="H141" s="48" t="inlineStr">
        <is>
          <t>risk_owner_concentration</t>
        </is>
      </c>
      <c r="I141" s="48" t="inlineStr">
        <is>
          <t>Which risk owners carry the largest concentration of high-exposure or overdue risks?</t>
        </is>
      </c>
      <c r="J141" s="48" t="inlineStr">
        <is>
          <t>Rank risk owners by unresolved exposure.</t>
        </is>
      </c>
      <c r="K141" s="48" t="inlineStr">
        <is>
          <t>Who needs support or escalation for risk closure?</t>
        </is>
      </c>
      <c r="L141" s="48" t="inlineStr">
        <is>
          <t>as_of_date; top_n</t>
        </is>
      </c>
      <c r="M141" s="48" t="inlineStr">
        <is>
          <t>Balance ownership and improve accountability.</t>
        </is>
      </c>
      <c r="N141" s="48" t="inlineStr">
        <is>
          <t>Aggregate open risk count, exposure, overdue count, and average age by owner_id; include projects and deal value affected.</t>
        </is>
      </c>
      <c r="O141" s="48" t="inlineStr">
        <is>
          <t>tbl_risk; tbl_users; tbl_projects; tbl_risk_status; tbl_risk_probability; tbl_risk_impact</t>
        </is>
      </c>
      <c r="P141" s="48" t="inlineStr">
        <is>
          <t>Available – KPI Rule Required</t>
        </is>
      </c>
      <c r="Q141" s="48" t="inlineStr">
        <is>
          <t>Predefined multi-table KPI / trend aggregation</t>
        </is>
      </c>
      <c r="R141" s="52" t="inlineStr">
        <is>
          <t>High</t>
        </is>
      </c>
      <c r="S141" s="48" t="inlineStr">
        <is>
          <t>Orbit KPI/Watchlist Tool with fixed formulas; cache intent/query plan, execute against live data; use Mesh only to explain computed results.</t>
        </is>
      </c>
      <c r="T141" s="48" t="inlineStr">
        <is>
          <t>Pending – Complex KPI SQL Design</t>
        </is>
      </c>
      <c r="U141" s="48" t="n"/>
      <c r="V141" s="48" t="inlineStr"/>
    </row>
    <row r="142" ht="72" customHeight="1" s="38">
      <c r="A142" s="53" t="inlineStr">
        <is>
          <t>New – Executive / KPI / Dashboard</t>
        </is>
      </c>
      <c r="B142" s="48" t="inlineStr"/>
      <c r="C142" s="48" t="inlineStr">
        <is>
          <t>Risk Committee / Audit / Delivery Head</t>
        </is>
      </c>
      <c r="D142" s="51" t="inlineStr">
        <is>
          <t>High</t>
        </is>
      </c>
      <c r="E142" s="48" t="inlineStr">
        <is>
          <t>Risks</t>
        </is>
      </c>
      <c r="F142" s="48" t="inlineStr">
        <is>
          <t>Exception / KPI</t>
        </is>
      </c>
      <c r="G142" s="51" t="inlineStr">
        <is>
          <t>Complex</t>
        </is>
      </c>
      <c r="H142" s="48" t="inlineStr">
        <is>
          <t>high_risks_missing_mitigation</t>
        </is>
      </c>
      <c r="I142" s="48" t="inlineStr">
        <is>
          <t>Which high-exposure risks lack a mitigation plan, contingency plan, responsibility, or target closure date?</t>
        </is>
      </c>
      <c r="J142" s="48" t="inlineStr">
        <is>
          <t>Show incomplete risk treatment records.</t>
        </is>
      </c>
      <c r="K142" s="48" t="inlineStr">
        <is>
          <t>Which major risks are not actionable because key fields are missing?</t>
        </is>
      </c>
      <c r="L142" s="48" t="inlineStr">
        <is>
          <t>exposure_threshold; as_of_date</t>
        </is>
      </c>
      <c r="M142" s="48" t="inlineStr">
        <is>
          <t>Improve risk-treatment completeness and auditability.</t>
        </is>
      </c>
      <c r="N142" s="48" t="inlineStr">
        <is>
          <t>Filter active high-exposure risks where mitigation_action_plan, contingency_action_plan, responsibility, or closure dates are blank/null.</t>
        </is>
      </c>
      <c r="O142" s="48" t="inlineStr">
        <is>
          <t>tbl_risk; tbl_risk_probability; tbl_risk_impact; tbl_projects</t>
        </is>
      </c>
      <c r="P142" s="48" t="inlineStr">
        <is>
          <t>Available – KPI Rule Required</t>
        </is>
      </c>
      <c r="Q142" s="48" t="inlineStr">
        <is>
          <t>Predefined multi-table KPI / trend aggregation</t>
        </is>
      </c>
      <c r="R142" s="52" t="inlineStr">
        <is>
          <t>High</t>
        </is>
      </c>
      <c r="S142" s="48" t="inlineStr">
        <is>
          <t>Orbit KPI/Watchlist Tool with fixed formulas; cache intent/query plan, execute against live data; use Mesh only to explain computed results.</t>
        </is>
      </c>
      <c r="T142" s="48" t="inlineStr">
        <is>
          <t>Pending – Complex KPI SQL Design</t>
        </is>
      </c>
      <c r="U142" s="48" t="n"/>
      <c r="V142" s="48" t="inlineStr"/>
    </row>
    <row r="143" ht="72" customHeight="1" s="38">
      <c r="A143" s="53" t="inlineStr">
        <is>
          <t>New – Executive / KPI / Dashboard</t>
        </is>
      </c>
      <c r="B143" s="48" t="inlineStr"/>
      <c r="C143" s="48" t="inlineStr">
        <is>
          <t>CEO / Risk Committee / Delivery Head</t>
        </is>
      </c>
      <c r="D143" s="51" t="inlineStr">
        <is>
          <t>High</t>
        </is>
      </c>
      <c r="E143" s="48" t="inlineStr">
        <is>
          <t>Risks</t>
        </is>
      </c>
      <c r="F143" s="48" t="inlineStr">
        <is>
          <t>Trend / Dashboard KPI</t>
        </is>
      </c>
      <c r="G143" s="51" t="inlineStr">
        <is>
          <t>Complex</t>
        </is>
      </c>
      <c r="H143" s="48" t="inlineStr">
        <is>
          <t>risk_closure_trend_and_age</t>
        </is>
      </c>
      <c r="I143" s="48" t="inlineStr">
        <is>
          <t>Are risk closure rates and risk aging improving or deteriorating?</t>
        </is>
      </c>
      <c r="J143" s="48" t="inlineStr">
        <is>
          <t>Show monthly risk creation, closure, and aging trends.</t>
        </is>
      </c>
      <c r="K143" s="48" t="inlineStr">
        <is>
          <t>Which projects are accumulating long-lived risks?</t>
        </is>
      </c>
      <c r="L143" s="48" t="inlineStr">
        <is>
          <t>months; time_bucket</t>
        </is>
      </c>
      <c r="M143" s="48" t="inlineStr">
        <is>
          <t>Monitor risk-management effectiveness over time.</t>
        </is>
      </c>
      <c r="N143" s="48" t="inlineStr">
        <is>
          <t>Use date_raised/date_closed and status_type to calculate created, closed, net backlog, average open age, and closure cycle time by period/project.</t>
        </is>
      </c>
      <c r="O143" s="48" t="inlineStr">
        <is>
          <t>tbl_risk; tbl_risk_status; tbl_projects</t>
        </is>
      </c>
      <c r="P143" s="48" t="inlineStr">
        <is>
          <t>Available – KPI Rule Required</t>
        </is>
      </c>
      <c r="Q143" s="48" t="inlineStr">
        <is>
          <t>Predefined multi-table KPI / trend aggregation</t>
        </is>
      </c>
      <c r="R143" s="52" t="inlineStr">
        <is>
          <t>High</t>
        </is>
      </c>
      <c r="S143" s="48" t="inlineStr">
        <is>
          <t>Orbit KPI/Watchlist Tool with fixed formulas; cache intent/query plan, execute against live data; use Mesh only to explain computed results.</t>
        </is>
      </c>
      <c r="T143" s="48" t="inlineStr">
        <is>
          <t>Pending – Complex KPI SQL Design</t>
        </is>
      </c>
      <c r="U143" s="48" t="n"/>
      <c r="V143" s="48" t="inlineStr"/>
    </row>
    <row r="144" ht="72" customHeight="1" s="38">
      <c r="A144" s="53" t="inlineStr">
        <is>
          <t>New – Executive / KPI / Dashboard</t>
        </is>
      </c>
      <c r="B144" s="48" t="inlineStr"/>
      <c r="C144" s="48" t="inlineStr">
        <is>
          <t>CEO / Executive Committee / Delivery Head</t>
        </is>
      </c>
      <c r="D144" s="51" t="inlineStr">
        <is>
          <t>High</t>
        </is>
      </c>
      <c r="E144" s="48" t="inlineStr">
        <is>
          <t>Delivery Health</t>
        </is>
      </c>
      <c r="F144" s="48" t="inlineStr">
        <is>
          <t>Executive Composite KPI</t>
        </is>
      </c>
      <c r="G144" s="52" t="inlineStr">
        <is>
          <t>Very Complex</t>
        </is>
      </c>
      <c r="H144" s="48" t="inlineStr">
        <is>
          <t>combined_risk_issue_exposure</t>
        </is>
      </c>
      <c r="I144" s="48" t="inlineStr">
        <is>
          <t>Which projects have both high risk exposure and severe unresolved issues?</t>
        </is>
      </c>
      <c r="J144" s="48" t="inlineStr">
        <is>
          <t>Show projects with compounded risk and issue pressure.</t>
        </is>
      </c>
      <c r="K144" s="48" t="inlineStr">
        <is>
          <t>Where are risk and defect indicators reinforcing each other?</t>
        </is>
      </c>
      <c r="L144" s="48" t="inlineStr">
        <is>
          <t>as_of_date; scoring_weights; top_n</t>
        </is>
      </c>
      <c r="M144" s="48" t="inlineStr">
        <is>
          <t>Identify projects where multiple failure signals converge.</t>
        </is>
      </c>
      <c r="N144" s="48" t="inlineStr">
        <is>
          <t>Combine active risk exposure, overdue risks, open issue severity/priority/age, project RAG, deal value, and end-date proximity.</t>
        </is>
      </c>
      <c r="O144" s="48" t="inlineStr">
        <is>
          <t>tbl_projects; tbl_risk; tbl_risk_status; tbl_risk_probability; tbl_risk_impact; tbl_project_issues; tbl_project_issue_status</t>
        </is>
      </c>
      <c r="P144" s="48" t="inlineStr">
        <is>
          <t>Available – KPI Rule Required</t>
        </is>
      </c>
      <c r="Q144" s="48" t="inlineStr">
        <is>
          <t>Composite multi-table ranking</t>
        </is>
      </c>
      <c r="R144" s="52" t="inlineStr">
        <is>
          <t>High</t>
        </is>
      </c>
      <c r="S144" s="48" t="inlineStr">
        <is>
          <t>Orbit KPI/Watchlist Tool with fixed formulas; cache intent/query plan, execute against live data; use Mesh only to explain computed results.</t>
        </is>
      </c>
      <c r="T144" s="48" t="inlineStr">
        <is>
          <t>Pending – Complex KPI SQL Design</t>
        </is>
      </c>
      <c r="U144" s="48" t="n"/>
      <c r="V144" s="48" t="inlineStr"/>
    </row>
    <row r="145" ht="72" customHeight="1" s="38">
      <c r="A145" s="53" t="inlineStr">
        <is>
          <t>New – Executive / KPI / Dashboard</t>
        </is>
      </c>
      <c r="B145" s="48" t="inlineStr"/>
      <c r="C145" s="48" t="inlineStr">
        <is>
          <t>Delivery Head / Resource Manager / PMO</t>
        </is>
      </c>
      <c r="D145" s="51" t="inlineStr">
        <is>
          <t>High</t>
        </is>
      </c>
      <c r="E145" s="48" t="inlineStr">
        <is>
          <t>Resources</t>
        </is>
      </c>
      <c r="F145" s="48" t="inlineStr">
        <is>
          <t>KPI / Comparative</t>
        </is>
      </c>
      <c r="G145" s="51" t="inlineStr">
        <is>
          <t>Complex</t>
        </is>
      </c>
      <c r="H145" s="48" t="inlineStr">
        <is>
          <t>resource_overallocation_overlap</t>
        </is>
      </c>
      <c r="I145" s="48" t="inlineStr">
        <is>
          <t>Which resources are overallocated across overlapping active projects?</t>
        </is>
      </c>
      <c r="J145" s="48" t="inlineStr">
        <is>
          <t>Show users whose concurrent allocation hours exceed capacity.</t>
        </is>
      </c>
      <c r="K145" s="48" t="inlineStr">
        <is>
          <t>Where do project allocations create resource conflicts?</t>
        </is>
      </c>
      <c r="L145" s="48" t="inlineStr">
        <is>
          <t>period; weekly_capacity_hours; threshold_percent</t>
        </is>
      </c>
      <c r="M145" s="48" t="inlineStr">
        <is>
          <t>Resolve capacity conflicts before they affect delivery.</t>
        </is>
      </c>
      <c r="N145" s="48" t="inlineStr">
        <is>
          <t>For overlapping allocation_from/allocation_to periods, sum allocation_hrs per user and compare with configured capacity; include affected projects and tasks.</t>
        </is>
      </c>
      <c r="O145" s="48" t="inlineStr">
        <is>
          <t>tbl_project_users; tbl_projects; tbl_users</t>
        </is>
      </c>
      <c r="P145" s="48" t="inlineStr">
        <is>
          <t>Available – KPI Rule Required</t>
        </is>
      </c>
      <c r="Q145" s="48" t="inlineStr">
        <is>
          <t>Predefined multi-table KPI / trend aggregation</t>
        </is>
      </c>
      <c r="R145" s="52" t="inlineStr">
        <is>
          <t>High</t>
        </is>
      </c>
      <c r="S145" s="48" t="inlineStr">
        <is>
          <t>Orbit KPI/Watchlist Tool with fixed formulas; cache intent/query plan, execute against live data; use Mesh only to explain computed results.</t>
        </is>
      </c>
      <c r="T145" s="48" t="inlineStr">
        <is>
          <t>Pending – Complex KPI SQL Design</t>
        </is>
      </c>
      <c r="U145" s="48" t="n"/>
      <c r="V145" s="48" t="inlineStr"/>
    </row>
    <row r="146" ht="72" customHeight="1" s="38">
      <c r="A146" s="53" t="inlineStr">
        <is>
          <t>New – Executive / KPI / Dashboard</t>
        </is>
      </c>
      <c r="B146" s="48" t="inlineStr"/>
      <c r="C146" s="48" t="inlineStr">
        <is>
          <t>Delivery Head / Resource Manager / Finance</t>
        </is>
      </c>
      <c r="D146" s="51" t="inlineStr">
        <is>
          <t>High</t>
        </is>
      </c>
      <c r="E146" s="48" t="inlineStr">
        <is>
          <t>Resources</t>
        </is>
      </c>
      <c r="F146" s="48" t="inlineStr">
        <is>
          <t>KPI / Comparative</t>
        </is>
      </c>
      <c r="G146" s="51" t="inlineStr">
        <is>
          <t>Complex</t>
        </is>
      </c>
      <c r="H146" s="48" t="inlineStr">
        <is>
          <t>allocation_actual_effort_mismatch</t>
        </is>
      </c>
      <c r="I146" s="48" t="inlineStr">
        <is>
          <t>Which resources have the largest mismatch between allocated hours and actual logged effort?</t>
        </is>
      </c>
      <c r="J146" s="48" t="inlineStr">
        <is>
          <t>Compare allocation against timesheet consumption.</t>
        </is>
      </c>
      <c r="K146" s="48" t="inlineStr">
        <is>
          <t>Who is materially over- or under-consuming their allocation?</t>
        </is>
      </c>
      <c r="L146" s="48" t="inlineStr">
        <is>
          <t>period; variance_threshold</t>
        </is>
      </c>
      <c r="M146" s="48" t="inlineStr">
        <is>
          <t>Improve workforce planning and project forecasting.</t>
        </is>
      </c>
      <c r="N146" s="48" t="inlineStr">
        <is>
          <t>Prorate allocation_hrs for the selected period and compare with timesheet hours by user/project; calculate absolute and percentage variance.</t>
        </is>
      </c>
      <c r="O146" s="48" t="inlineStr">
        <is>
          <t>tbl_project_users; tbl_timesheets; tbl_projects; tbl_users</t>
        </is>
      </c>
      <c r="P146" s="48" t="inlineStr">
        <is>
          <t>Available – KPI Rule Required</t>
        </is>
      </c>
      <c r="Q146" s="48" t="inlineStr">
        <is>
          <t>Predefined multi-table KPI / trend aggregation</t>
        </is>
      </c>
      <c r="R146" s="52" t="inlineStr">
        <is>
          <t>High</t>
        </is>
      </c>
      <c r="S146" s="48" t="inlineStr">
        <is>
          <t>Orbit KPI/Watchlist Tool with fixed formulas; cache intent/query plan, execute against live data; use Mesh only to explain computed results.</t>
        </is>
      </c>
      <c r="T146" s="48" t="inlineStr">
        <is>
          <t>Pending – Complex KPI SQL Design</t>
        </is>
      </c>
      <c r="U146" s="48" t="n"/>
      <c r="V146" s="48" t="inlineStr"/>
    </row>
    <row r="147" ht="72" customHeight="1" s="38">
      <c r="A147" s="53" t="inlineStr">
        <is>
          <t>New – Executive / KPI / Dashboard</t>
        </is>
      </c>
      <c r="B147" s="48" t="inlineStr"/>
      <c r="C147" s="48" t="inlineStr">
        <is>
          <t>CEO / Delivery Head / Resource Manager</t>
        </is>
      </c>
      <c r="D147" s="51" t="inlineStr">
        <is>
          <t>High</t>
        </is>
      </c>
      <c r="E147" s="48" t="inlineStr">
        <is>
          <t>Resources</t>
        </is>
      </c>
      <c r="F147" s="48" t="inlineStr">
        <is>
          <t>Executive KPI / Dashboard</t>
        </is>
      </c>
      <c r="G147" s="51" t="inlineStr">
        <is>
          <t>Complex</t>
        </is>
      </c>
      <c r="H147" s="48" t="inlineStr">
        <is>
          <t>key_person_dependency</t>
        </is>
      </c>
      <c r="I147" s="48" t="inlineStr">
        <is>
          <t>Which projects depend excessively on a single contributor?</t>
        </is>
      </c>
      <c r="J147" s="48" t="inlineStr">
        <is>
          <t>Show projects where one user contributes more than :threshold_percent of logged effort.</t>
        </is>
      </c>
      <c r="K147" s="48" t="inlineStr">
        <is>
          <t>Where is key-person delivery risk highest?</t>
        </is>
      </c>
      <c r="L147" s="48" t="inlineStr">
        <is>
          <t>period; threshold_percent; minimum_hours</t>
        </is>
      </c>
      <c r="M147" s="48" t="inlineStr">
        <is>
          <t>Reduce single-point-of-failure exposure.</t>
        </is>
      </c>
      <c r="N147" s="48" t="inlineStr">
        <is>
          <t>For each project, calculate each user’s share of project timesheet hours and task ownership; flag concentration above threshold and combine with project RAG/deal value.</t>
        </is>
      </c>
      <c r="O147" s="48" t="inlineStr">
        <is>
          <t>tbl_projects; tbl_timesheets; tbl_project_task_users; tbl_project_tasks; tbl_users</t>
        </is>
      </c>
      <c r="P147" s="48" t="inlineStr">
        <is>
          <t>Available – KPI Rule Required</t>
        </is>
      </c>
      <c r="Q147" s="48" t="inlineStr">
        <is>
          <t>Predefined multi-table KPI / trend aggregation</t>
        </is>
      </c>
      <c r="R147" s="52" t="inlineStr">
        <is>
          <t>High</t>
        </is>
      </c>
      <c r="S147" s="48" t="inlineStr">
        <is>
          <t>Orbit KPI/Watchlist Tool with fixed formulas; cache intent/query plan, execute against live data; use Mesh only to explain computed results.</t>
        </is>
      </c>
      <c r="T147" s="48" t="inlineStr">
        <is>
          <t>Pending – Complex KPI SQL Design</t>
        </is>
      </c>
      <c r="U147" s="48" t="n"/>
      <c r="V147" s="48" t="inlineStr"/>
    </row>
    <row r="148" ht="72" customHeight="1" s="38">
      <c r="A148" s="53" t="inlineStr">
        <is>
          <t>New – Executive / KPI / Dashboard</t>
        </is>
      </c>
      <c r="B148" s="48" t="inlineStr"/>
      <c r="C148" s="48" t="inlineStr">
        <is>
          <t>Delivery Head / Resource Manager</t>
        </is>
      </c>
      <c r="D148" s="51" t="inlineStr">
        <is>
          <t>High</t>
        </is>
      </c>
      <c r="E148" s="48" t="inlineStr">
        <is>
          <t>Resources</t>
        </is>
      </c>
      <c r="F148" s="48" t="inlineStr">
        <is>
          <t>Dashboard KPI</t>
        </is>
      </c>
      <c r="G148" s="51" t="inlineStr">
        <is>
          <t>Complex</t>
        </is>
      </c>
      <c r="H148" s="48" t="inlineStr">
        <is>
          <t>multi_project_context_switching</t>
        </is>
      </c>
      <c r="I148" s="48" t="inlineStr">
        <is>
          <t>Which users are spread across too many concurrent projects?</t>
        </is>
      </c>
      <c r="J148" s="48" t="inlineStr">
        <is>
          <t>Rank resources by number of overlapping active project allocations.</t>
        </is>
      </c>
      <c r="K148" s="48" t="inlineStr">
        <is>
          <t>Who may be losing productivity through excessive context switching?</t>
        </is>
      </c>
      <c r="L148" s="48" t="inlineStr">
        <is>
          <t>period; project_count_threshold</t>
        </is>
      </c>
      <c r="M148" s="48" t="inlineStr">
        <is>
          <t>Reduce context switching and protect critical delivery capacity.</t>
        </is>
      </c>
      <c r="N148" s="48" t="inlineStr">
        <is>
          <t>Count overlapping accepted active allocations per user; include allocation hours, logged hours, project RAG, and role/access type.</t>
        </is>
      </c>
      <c r="O148" s="48" t="inlineStr">
        <is>
          <t>tbl_project_users; tbl_projects; tbl_users; tbl_timesheets</t>
        </is>
      </c>
      <c r="P148" s="48" t="inlineStr">
        <is>
          <t>Available – KPI Rule Required</t>
        </is>
      </c>
      <c r="Q148" s="48" t="inlineStr">
        <is>
          <t>Predefined multi-table KPI / trend aggregation</t>
        </is>
      </c>
      <c r="R148" s="52" t="inlineStr">
        <is>
          <t>High</t>
        </is>
      </c>
      <c r="S148" s="48" t="inlineStr">
        <is>
          <t>Orbit KPI/Watchlist Tool with fixed formulas; cache intent/query plan, execute against live data; use Mesh only to explain computed results.</t>
        </is>
      </c>
      <c r="T148" s="48" t="inlineStr">
        <is>
          <t>Pending – Complex KPI SQL Design</t>
        </is>
      </c>
      <c r="U148" s="48" t="n"/>
      <c r="V148" s="48" t="inlineStr"/>
    </row>
    <row r="149" ht="72" customHeight="1" s="38">
      <c r="A149" s="53" t="inlineStr">
        <is>
          <t>New – Executive / KPI / Dashboard</t>
        </is>
      </c>
      <c r="B149" s="48" t="inlineStr"/>
      <c r="C149" s="48" t="inlineStr">
        <is>
          <t>Delivery Head / Resource Manager / PMO</t>
        </is>
      </c>
      <c r="D149" s="51" t="inlineStr">
        <is>
          <t>High</t>
        </is>
      </c>
      <c r="E149" s="48" t="inlineStr">
        <is>
          <t>Resources</t>
        </is>
      </c>
      <c r="F149" s="48" t="inlineStr">
        <is>
          <t>Exception / KPI</t>
        </is>
      </c>
      <c r="G149" s="51" t="inlineStr">
        <is>
          <t>Complex</t>
        </is>
      </c>
      <c r="H149" s="48" t="inlineStr">
        <is>
          <t>allocation_expiry_delivery_risk</t>
        </is>
      </c>
      <c r="I149" s="48" t="inlineStr">
        <is>
          <t>Which resource allocations end before their assigned open tasks or project delivery dates?</t>
        </is>
      </c>
      <c r="J149" s="48" t="inlineStr">
        <is>
          <t>Show allocation end-date risks.</t>
        </is>
      </c>
      <c r="K149" s="48" t="inlineStr">
        <is>
          <t>Where could resources roll off before remaining work is due?</t>
        </is>
      </c>
      <c r="L149" s="48" t="inlineStr">
        <is>
          <t>as_of_date; horizon_days</t>
        </is>
      </c>
      <c r="M149" s="48" t="inlineStr">
        <is>
          <t>Prevent avoidable resource roll-off and handover gaps.</t>
        </is>
      </c>
      <c r="N149" s="48" t="inlineStr">
        <is>
          <t>Compare project_users.allocation_to with due dates of tasks assigned through tbl_project_task_users and project.end_date; rank by task priority/RAG.</t>
        </is>
      </c>
      <c r="O149" s="48" t="inlineStr">
        <is>
          <t>tbl_project_users; tbl_project_task_users; tbl_project_tasks; tbl_projects; tbl_users</t>
        </is>
      </c>
      <c r="P149" s="48" t="inlineStr">
        <is>
          <t>Available – KPI Rule Required</t>
        </is>
      </c>
      <c r="Q149" s="48" t="inlineStr">
        <is>
          <t>Predefined multi-table KPI / trend aggregation</t>
        </is>
      </c>
      <c r="R149" s="52" t="inlineStr">
        <is>
          <t>High</t>
        </is>
      </c>
      <c r="S149" s="48" t="inlineStr">
        <is>
          <t>Orbit KPI/Watchlist Tool with fixed formulas; cache intent/query plan, execute against live data; use Mesh only to explain computed results.</t>
        </is>
      </c>
      <c r="T149" s="48" t="inlineStr">
        <is>
          <t>Pending – Complex KPI SQL Design</t>
        </is>
      </c>
      <c r="U149" s="48" t="n"/>
      <c r="V149" s="48" t="inlineStr"/>
    </row>
    <row r="150" ht="72" customHeight="1" s="38">
      <c r="A150" s="53" t="inlineStr">
        <is>
          <t>New – Executive / KPI / Dashboard</t>
        </is>
      </c>
      <c r="B150" s="48" t="inlineStr"/>
      <c r="C150" s="48" t="inlineStr">
        <is>
          <t>CEO / Finance / Delivery Head</t>
        </is>
      </c>
      <c r="D150" s="51" t="inlineStr">
        <is>
          <t>High</t>
        </is>
      </c>
      <c r="E150" s="48" t="inlineStr">
        <is>
          <t>Financial &amp; Effort</t>
        </is>
      </c>
      <c r="F150" s="48" t="inlineStr">
        <is>
          <t>Executive KPI / Dashboard</t>
        </is>
      </c>
      <c r="G150" s="51" t="inlineStr">
        <is>
          <t>Complex</t>
        </is>
      </c>
      <c r="H150" s="48" t="inlineStr">
        <is>
          <t>chargeable_effort_ratio</t>
        </is>
      </c>
      <c r="I150" s="48" t="inlineStr">
        <is>
          <t>What percentage of logged effort is chargeable by project, PM, client, and project type?</t>
        </is>
      </c>
      <c r="J150" s="48" t="inlineStr">
        <is>
          <t>Show chargeable versus non-chargeable effort mix.</t>
        </is>
      </c>
      <c r="K150" s="48" t="inlineStr">
        <is>
          <t>Where is non-chargeable delivery effort concentrated?</t>
        </is>
      </c>
      <c r="L150" s="48" t="inlineStr">
        <is>
          <t>period; grouping_dimension</t>
        </is>
      </c>
      <c r="M150" s="48" t="inlineStr">
        <is>
          <t>Improve commercial efficiency and identify leakage.</t>
        </is>
      </c>
      <c r="N150" s="48" t="inlineStr">
        <is>
          <t>Join timesheets to tasks; chargeable ratio = hours on tasks with chargeable=Y ÷ total logged hours; group by selected dimensions.</t>
        </is>
      </c>
      <c r="O150" s="48" t="inlineStr">
        <is>
          <t>tbl_timesheets; tbl_project_tasks; tbl_projects; tbl_users; tbl_clients; tbl_project_types</t>
        </is>
      </c>
      <c r="P150" s="48" t="inlineStr">
        <is>
          <t>Available – KPI Rule Required</t>
        </is>
      </c>
      <c r="Q150" s="48" t="inlineStr">
        <is>
          <t>Predefined multi-table KPI / trend aggregation</t>
        </is>
      </c>
      <c r="R150" s="52" t="inlineStr">
        <is>
          <t>High</t>
        </is>
      </c>
      <c r="S150" s="48" t="inlineStr">
        <is>
          <t>Orbit KPI/Watchlist Tool with fixed formulas; cache intent/query plan, execute against live data; use Mesh only to explain computed results.</t>
        </is>
      </c>
      <c r="T150" s="48" t="inlineStr">
        <is>
          <t>Pending – Complex KPI SQL Design</t>
        </is>
      </c>
      <c r="U150" s="48" t="n"/>
      <c r="V150" s="48" t="inlineStr"/>
    </row>
    <row r="151" ht="72" customHeight="1" s="38">
      <c r="A151" s="53" t="inlineStr">
        <is>
          <t>New – Executive / KPI / Dashboard</t>
        </is>
      </c>
      <c r="B151" s="48" t="inlineStr"/>
      <c r="C151" s="48" t="inlineStr">
        <is>
          <t>CEO / Executive Committee</t>
        </is>
      </c>
      <c r="D151" s="51" t="inlineStr">
        <is>
          <t>High</t>
        </is>
      </c>
      <c r="E151" s="48" t="inlineStr">
        <is>
          <t>Executive Portfolio</t>
        </is>
      </c>
      <c r="F151" s="48" t="inlineStr">
        <is>
          <t>Forecast / Predictive</t>
        </is>
      </c>
      <c r="G151" s="52" t="inlineStr">
        <is>
          <t>Very Complex</t>
        </is>
      </c>
      <c r="H151" s="48" t="inlineStr">
        <is>
          <t>executive_30_60_90_day_watchlist</t>
        </is>
      </c>
      <c r="I151" s="48" t="inlineStr">
        <is>
          <t>What projects, risks, tasks, issues, and allocation expiries need executive attention in the next 30, 60, and 90 days?</t>
        </is>
      </c>
      <c r="J151" s="48" t="inlineStr">
        <is>
          <t>Create a 30/60/90-day delivery watchlist.</t>
        </is>
      </c>
      <c r="K151" s="48" t="inlineStr">
        <is>
          <t>What upcoming events could materially affect the portfolio?</t>
        </is>
      </c>
      <c r="L151" s="48" t="inlineStr">
        <is>
          <t>as_of_date; scoring_weights; horizons</t>
        </is>
      </c>
      <c r="M151" s="48" t="inlineStr">
        <is>
          <t>Provide a single forward-looking executive action agenda.</t>
        </is>
      </c>
      <c r="N151" s="48" t="inlineStr">
        <is>
          <t>Create horizon buckets using project end dates, task due dates, issue planned closure dates, risk target/revised closure dates, and allocation_to dates; rank by deal value, RAG, severity/exposure, and dependency.</t>
        </is>
      </c>
      <c r="O151" s="48" t="inlineStr">
        <is>
          <t>tbl_projects; tbl_project_tasks; tbl_project_issues; tbl_risk; tbl_project_users; tbl_users</t>
        </is>
      </c>
      <c r="P151" s="48" t="inlineStr">
        <is>
          <t>Available – KPI Rule Required</t>
        </is>
      </c>
      <c r="Q151" s="48" t="inlineStr">
        <is>
          <t>Deterministic forecast / watchlist scoring</t>
        </is>
      </c>
      <c r="R151" s="52" t="inlineStr">
        <is>
          <t>High</t>
        </is>
      </c>
      <c r="S151" s="48" t="inlineStr">
        <is>
          <t>Orbit KPI/Watchlist Tool with fixed formulas; cache intent/query plan, execute against live data; use Mesh only to explain computed results.</t>
        </is>
      </c>
      <c r="T151" s="48" t="inlineStr">
        <is>
          <t>Pending – Complex KPI SQL Design</t>
        </is>
      </c>
      <c r="U151" s="48" t="n"/>
      <c r="V151" s="48" t="inlineStr"/>
    </row>
  </sheetData>
  <autoFilter ref="A1:V1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V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38" min="1" max="1"/>
    <col width="11" customWidth="1" style="38" min="2" max="2"/>
    <col width="30" customWidth="1" style="38" min="3" max="3"/>
    <col width="13" customWidth="1" style="38" min="4" max="4"/>
    <col width="22" customWidth="1" style="38" min="5" max="5"/>
    <col width="24" customWidth="1" style="38" min="6" max="6"/>
    <col width="15" customWidth="1" style="38" min="7" max="7"/>
    <col width="31" customWidth="1" style="38" min="8" max="8"/>
    <col width="46" customWidth="1" style="38" min="9" max="9"/>
    <col width="38" customWidth="1" style="38" min="10" max="10"/>
    <col width="38" customWidth="1" style="38" min="11" max="11"/>
    <col width="25" customWidth="1" style="38" min="12" max="12"/>
    <col width="36" customWidth="1" style="38" min="13" max="13"/>
    <col width="62" customWidth="1" style="38" min="14" max="14"/>
    <col width="55" customWidth="1" style="38" min="15" max="15"/>
    <col width="28" customWidth="1" style="38" min="16" max="16"/>
    <col width="36" customWidth="1" style="38" min="17" max="17"/>
    <col width="15" customWidth="1" style="38" min="18" max="18"/>
    <col width="58" customWidth="1" style="38" min="19" max="19"/>
    <col width="32" customWidth="1" style="38" min="20" max="20"/>
    <col width="55" customWidth="1" style="38" min="21" max="21"/>
    <col width="55" customWidth="1" style="38" min="22" max="22"/>
  </cols>
  <sheetData>
    <row r="1" ht="34" customHeight="1" s="38">
      <c r="A1" s="46" t="inlineStr">
        <is>
          <t>Source</t>
        </is>
      </c>
      <c r="B1" s="46" t="inlineStr">
        <is>
          <t>Original ID</t>
        </is>
      </c>
      <c r="C1" s="46" t="inlineStr">
        <is>
          <t>Audience</t>
        </is>
      </c>
      <c r="D1" s="46" t="inlineStr">
        <is>
          <t>Executive Priority</t>
        </is>
      </c>
      <c r="E1" s="46" t="inlineStr">
        <is>
          <t>PMS Area</t>
        </is>
      </c>
      <c r="F1" s="46" t="inlineStr">
        <is>
          <t>Question Type</t>
        </is>
      </c>
      <c r="G1" s="46" t="inlineStr">
        <is>
          <t>Complexity Tag</t>
        </is>
      </c>
      <c r="H1" s="46" t="inlineStr">
        <is>
          <t>Canonical Intent</t>
        </is>
      </c>
      <c r="I1" s="46" t="inlineStr">
        <is>
          <t>Primary Question</t>
        </is>
      </c>
      <c r="J1" s="46" t="inlineStr">
        <is>
          <t>Alternative Phrasing 1</t>
        </is>
      </c>
      <c r="K1" s="46" t="inlineStr">
        <is>
          <t>Alternative Phrasing 2</t>
        </is>
      </c>
      <c r="L1" s="46" t="inlineStr">
        <is>
          <t>Required Parameters</t>
        </is>
      </c>
      <c r="M1" s="46" t="inlineStr">
        <is>
          <t>Business Decision / Value</t>
        </is>
      </c>
      <c r="N1" s="46" t="inlineStr">
        <is>
          <t>KPI / Derivation Logic</t>
        </is>
      </c>
      <c r="O1" s="46" t="inlineStr">
        <is>
          <t>Relevant Populated Tables</t>
        </is>
      </c>
      <c r="P1" s="46" t="inlineStr">
        <is>
          <t>Data Readiness</t>
        </is>
      </c>
      <c r="Q1" s="46" t="inlineStr">
        <is>
          <t>Query Strategy</t>
        </is>
      </c>
      <c r="R1" s="46" t="inlineStr">
        <is>
          <t>LLM Error Risk</t>
        </is>
      </c>
      <c r="S1" s="46" t="inlineStr">
        <is>
          <t>Recommended Execution / Cache</t>
        </is>
      </c>
      <c r="T1" s="46" t="inlineStr">
        <is>
          <t>Query Mapping Status</t>
        </is>
      </c>
      <c r="U1" s="46" t="inlineStr">
        <is>
          <t>SQL Query (Existing or Recovered)</t>
        </is>
      </c>
      <c r="V1" s="46" t="inlineStr">
        <is>
          <t>Notes</t>
        </is>
      </c>
    </row>
    <row r="2" ht="80" customHeight="1" s="38">
      <c r="A2" s="48" t="inlineStr">
        <is>
          <t>New – Executive / KPI / Dashboard</t>
        </is>
      </c>
      <c r="B2" s="48" t="inlineStr"/>
      <c r="C2" s="48" t="inlineStr">
        <is>
          <t>CEO / Executive Committee</t>
        </is>
      </c>
      <c r="D2" s="48" t="inlineStr">
        <is>
          <t>High</t>
        </is>
      </c>
      <c r="E2" s="48" t="inlineStr">
        <is>
          <t>Executive Portfolio</t>
        </is>
      </c>
      <c r="F2" s="48" t="inlineStr">
        <is>
          <t>Executive Composite KPI</t>
        </is>
      </c>
      <c r="G2" s="52" t="inlineStr">
        <is>
          <t>Very Complex</t>
        </is>
      </c>
      <c r="H2" s="48" t="inlineStr">
        <is>
          <t>executive_attention_ranking</t>
        </is>
      </c>
      <c r="I2" s="48" t="inlineStr">
        <is>
          <t>Which projects require immediate executive attention, ranked from highest to lowest risk?</t>
        </is>
      </c>
      <c r="J2" s="48" t="inlineStr">
        <is>
          <t>Show the top :top_n projects needing leadership intervention.</t>
        </is>
      </c>
      <c r="K2" s="48" t="inlineStr">
        <is>
          <t>Create an executive exception list for the portfolio.</t>
        </is>
      </c>
      <c r="L2" s="48" t="inlineStr">
        <is>
          <t>as_of_date; top_n; scoring_weights</t>
        </is>
      </c>
      <c r="M2" s="48" t="inlineStr">
        <is>
          <t>Focus leadership time on the projects with the largest combined delivery exposure.</t>
        </is>
      </c>
      <c r="N2" s="48" t="inlineStr">
        <is>
          <t>Composite score using project RAG, overdue-task ratio, high-severity/open issues, current risk exposure, effort burn, days to end date, and stale-update penalties.</t>
        </is>
      </c>
      <c r="O2" s="48" t="inlineStr">
        <is>
          <t>tbl_projects; tbl_project_status; tbl_project_stages; tbl_project_tasks; tbl_project_task_status; tbl_project_issues; tbl_project_issue_status; tbl_risk; tbl_risk_status; tbl_risk_probability; tbl_risk_impact</t>
        </is>
      </c>
      <c r="P2" s="48" t="inlineStr">
        <is>
          <t>Available – KPI Rule Required</t>
        </is>
      </c>
      <c r="Q2" s="48" t="inlineStr">
        <is>
          <t>Composite multi-table ranking</t>
        </is>
      </c>
      <c r="R2" s="52" t="inlineStr">
        <is>
          <t>High</t>
        </is>
      </c>
      <c r="S2" s="48" t="inlineStr">
        <is>
          <t>Orbit KPI/Watchlist Tool with fixed formulas; cache intent/query plan, execute against live data; use Mesh only to explain computed results.</t>
        </is>
      </c>
      <c r="T2" s="48" t="inlineStr">
        <is>
          <t>Pending – Complex KPI SQL Design</t>
        </is>
      </c>
      <c r="U2" s="48" t="n"/>
      <c r="V2" s="48" t="inlineStr"/>
    </row>
    <row r="3" ht="80" customHeight="1" s="38">
      <c r="A3" s="48" t="inlineStr">
        <is>
          <t>New – Executive / KPI / Dashboard</t>
        </is>
      </c>
      <c r="B3" s="48" t="inlineStr"/>
      <c r="C3" s="48" t="inlineStr">
        <is>
          <t>CEO / Executive Committee / Finance</t>
        </is>
      </c>
      <c r="D3" s="48" t="inlineStr">
        <is>
          <t>High</t>
        </is>
      </c>
      <c r="E3" s="48" t="inlineStr">
        <is>
          <t>Executive Portfolio</t>
        </is>
      </c>
      <c r="F3" s="48" t="inlineStr">
        <is>
          <t>Executive KPI / Dashboard</t>
        </is>
      </c>
      <c r="G3" s="51" t="inlineStr">
        <is>
          <t>Complex</t>
        </is>
      </c>
      <c r="H3" s="48" t="inlineStr">
        <is>
          <t>deal_weighted_rag_distribution</t>
        </is>
      </c>
      <c r="I3" s="48" t="inlineStr">
        <is>
          <t>What percentage of the active portfolio is Red, Amber, or Green when weighted by deal value?</t>
        </is>
      </c>
      <c r="J3" s="48" t="inlineStr">
        <is>
          <t>Show deal-value-weighted RAG distribution.</t>
        </is>
      </c>
      <c r="K3" s="48" t="inlineStr">
        <is>
          <t>How much portfolio value sits in each RAG category?</t>
        </is>
      </c>
      <c r="L3" s="48" t="inlineStr">
        <is>
          <t>as_of_date</t>
        </is>
      </c>
      <c r="M3" s="48" t="inlineStr">
        <is>
          <t>Measure financial exposure, not only project counts.</t>
        </is>
      </c>
      <c r="N3" s="48" t="inlineStr">
        <is>
          <t>Sum deal_value by RAG and divide by total deal_value for active, non-archived projects.</t>
        </is>
      </c>
      <c r="O3" s="48" t="inlineStr">
        <is>
          <t>tbl_projects</t>
        </is>
      </c>
      <c r="P3" s="48" t="inlineStr">
        <is>
          <t>Available – KPI Rule Required</t>
        </is>
      </c>
      <c r="Q3" s="48" t="inlineStr">
        <is>
          <t>Predefined multi-table KPI / trend aggregation</t>
        </is>
      </c>
      <c r="R3" s="52" t="inlineStr">
        <is>
          <t>High</t>
        </is>
      </c>
      <c r="S3" s="48" t="inlineStr">
        <is>
          <t>Orbit KPI/Watchlist Tool with fixed formulas; cache intent/query plan, execute against live data; use Mesh only to explain computed results.</t>
        </is>
      </c>
      <c r="T3" s="48" t="inlineStr">
        <is>
          <t>Pending – Complex KPI SQL Design</t>
        </is>
      </c>
      <c r="U3" s="48" t="n"/>
      <c r="V3" s="48" t="inlineStr"/>
    </row>
    <row r="4" ht="80" customHeight="1" s="38">
      <c r="A4" s="48" t="inlineStr">
        <is>
          <t>New – Executive / KPI / Dashboard</t>
        </is>
      </c>
      <c r="B4" s="48" t="inlineStr"/>
      <c r="C4" s="48" t="inlineStr">
        <is>
          <t>CEO / Executive Committee / Finance</t>
        </is>
      </c>
      <c r="D4" s="48" t="inlineStr">
        <is>
          <t>High</t>
        </is>
      </c>
      <c r="E4" s="48" t="inlineStr">
        <is>
          <t>Executive Portfolio</t>
        </is>
      </c>
      <c r="F4" s="48" t="inlineStr">
        <is>
          <t>Executive KPI / Dashboard</t>
        </is>
      </c>
      <c r="G4" s="51" t="inlineStr">
        <is>
          <t>Complex</t>
        </is>
      </c>
      <c r="H4" s="48" t="inlineStr">
        <is>
          <t>deal_value_at_risk</t>
        </is>
      </c>
      <c r="I4" s="48" t="inlineStr">
        <is>
          <t>How much deal value is currently at risk in Red and Amber projects?</t>
        </is>
      </c>
      <c r="J4" s="48" t="inlineStr">
        <is>
          <t>Show total commercial exposure in unhealthy projects.</t>
        </is>
      </c>
      <c r="K4" s="48" t="inlineStr">
        <is>
          <t>What is the value of the portfolio requiring recovery action?</t>
        </is>
      </c>
      <c r="L4" s="48" t="inlineStr">
        <is>
          <t>as_of_date; risk_rag_values</t>
        </is>
      </c>
      <c r="M4" s="48" t="inlineStr">
        <is>
          <t>Quantify commercial exposure and prioritise recovery investment.</t>
        </is>
      </c>
      <c r="N4" s="48" t="inlineStr">
        <is>
          <t>Aggregate deal_value for active projects whose RAG is in configured risk categories; split by PM, client, project type, and stage.</t>
        </is>
      </c>
      <c r="O4" s="48" t="inlineStr">
        <is>
          <t>tbl_projects; tbl_clients; tbl_project_types; tbl_project_stages</t>
        </is>
      </c>
      <c r="P4" s="48" t="inlineStr">
        <is>
          <t>Available – KPI Rule Required</t>
        </is>
      </c>
      <c r="Q4" s="48" t="inlineStr">
        <is>
          <t>Predefined multi-table KPI / trend aggregation</t>
        </is>
      </c>
      <c r="R4" s="52" t="inlineStr">
        <is>
          <t>High</t>
        </is>
      </c>
      <c r="S4" s="48" t="inlineStr">
        <is>
          <t>Orbit KPI/Watchlist Tool with fixed formulas; cache intent/query plan, execute against live data; use Mesh only to explain computed results.</t>
        </is>
      </c>
      <c r="T4" s="48" t="inlineStr">
        <is>
          <t>Pending – Complex KPI SQL Design</t>
        </is>
      </c>
      <c r="U4" s="48" t="n"/>
      <c r="V4" s="48" t="inlineStr"/>
    </row>
    <row r="5" ht="80" customHeight="1" s="38">
      <c r="A5" s="48" t="inlineStr">
        <is>
          <t>New – Executive / KPI / Dashboard</t>
        </is>
      </c>
      <c r="B5" s="48" t="inlineStr"/>
      <c r="C5" s="48" t="inlineStr">
        <is>
          <t>CEO / Delivery Head / Portfolio Head</t>
        </is>
      </c>
      <c r="D5" s="48" t="inlineStr">
        <is>
          <t>High</t>
        </is>
      </c>
      <c r="E5" s="48" t="inlineStr">
        <is>
          <t>Executive Portfolio</t>
        </is>
      </c>
      <c r="F5" s="48" t="inlineStr">
        <is>
          <t>Forecast / Predictive</t>
        </is>
      </c>
      <c r="G5" s="52" t="inlineStr">
        <is>
          <t>Very Complex</t>
        </is>
      </c>
      <c r="H5" s="48" t="inlineStr">
        <is>
          <t>project_end_date_miss_forecast</t>
        </is>
      </c>
      <c r="I5" s="48" t="inlineStr">
        <is>
          <t>Which projects are most likely to miss their committed end dates?</t>
        </is>
      </c>
      <c r="J5" s="48" t="inlineStr">
        <is>
          <t>Forecast projects at risk of schedule slippage.</t>
        </is>
      </c>
      <c r="K5" s="48" t="inlineStr">
        <is>
          <t>Which projects need intervention to protect their delivery date?</t>
        </is>
      </c>
      <c r="L5" s="48" t="inlineStr">
        <is>
          <t>as_of_date; forecast_horizon; scoring_weights</t>
        </is>
      </c>
      <c r="M5" s="48" t="inlineStr">
        <is>
          <t>Intervene before delivery dates are missed.</t>
        </is>
      </c>
      <c r="N5" s="48" t="inlineStr">
        <is>
          <t>Deterministic risk score using days remaining, overdue/open-task ratio, tasks due after project end, remaining estimated effort, unresolved issue/risk exposure, and update recency.</t>
        </is>
      </c>
      <c r="O5" s="48" t="inlineStr">
        <is>
          <t>tbl_projects; tbl_project_status; tbl_project_stages; tbl_project_tasks; tbl_project_task_status; tbl_timesheets; tbl_project_issues; tbl_project_issue_status; tbl_risk; tbl_risk_status</t>
        </is>
      </c>
      <c r="P5" s="48" t="inlineStr">
        <is>
          <t>Available – KPI Rule Required</t>
        </is>
      </c>
      <c r="Q5" s="48" t="inlineStr">
        <is>
          <t>Deterministic forecast / watchlist scoring</t>
        </is>
      </c>
      <c r="R5" s="52" t="inlineStr">
        <is>
          <t>High</t>
        </is>
      </c>
      <c r="S5" s="48" t="inlineStr">
        <is>
          <t>Orbit KPI/Watchlist Tool with fixed formulas; cache intent/query plan, execute against live data; use Mesh only to explain computed results.</t>
        </is>
      </c>
      <c r="T5" s="48" t="inlineStr">
        <is>
          <t>Pending – Complex KPI SQL Design</t>
        </is>
      </c>
      <c r="U5" s="48" t="n"/>
      <c r="V5" s="48" t="inlineStr"/>
    </row>
    <row r="6" ht="80" customHeight="1" s="38">
      <c r="A6" s="48" t="inlineStr">
        <is>
          <t>New – Executive / KPI / Dashboard</t>
        </is>
      </c>
      <c r="B6" s="48" t="inlineStr"/>
      <c r="C6" s="48" t="inlineStr">
        <is>
          <t>CEO / Delivery Head</t>
        </is>
      </c>
      <c r="D6" s="48" t="inlineStr">
        <is>
          <t>High</t>
        </is>
      </c>
      <c r="E6" s="48" t="inlineStr">
        <is>
          <t>Executive Portfolio</t>
        </is>
      </c>
      <c r="F6" s="48" t="inlineStr">
        <is>
          <t>Executive KPI / Dashboard</t>
        </is>
      </c>
      <c r="G6" s="51" t="inlineStr">
        <is>
          <t>Complex</t>
        </is>
      </c>
      <c r="H6" s="48" t="inlineStr">
        <is>
          <t>pm_risk_concentration</t>
        </is>
      </c>
      <c r="I6" s="48" t="inlineStr">
        <is>
          <t>Which project managers carry the highest concentration of Red or Amber projects?</t>
        </is>
      </c>
      <c r="J6" s="48" t="inlineStr">
        <is>
          <t>Rank PMs by unhealthy project count and value.</t>
        </is>
      </c>
      <c r="K6" s="48" t="inlineStr">
        <is>
          <t>Which PM portfolios need additional leadership support?</t>
        </is>
      </c>
      <c r="L6" s="48" t="inlineStr">
        <is>
          <t>as_of_date; rag_values</t>
        </is>
      </c>
      <c r="M6" s="48" t="inlineStr">
        <is>
          <t>Detect concentrated delivery risk and coaching/support needs.</t>
        </is>
      </c>
      <c r="N6" s="48" t="inlineStr">
        <is>
          <t>Group active projects by pm_user_id; calculate red/amber project count, percentage, deal value, overdue-task ratio, and issue/risk exposure.</t>
        </is>
      </c>
      <c r="O6" s="48" t="inlineStr">
        <is>
          <t>tbl_projects; tbl_users; tbl_project_tasks; tbl_project_issues; tbl_risk</t>
        </is>
      </c>
      <c r="P6" s="48" t="inlineStr">
        <is>
          <t>Available – KPI Rule Required</t>
        </is>
      </c>
      <c r="Q6" s="48" t="inlineStr">
        <is>
          <t>Predefined multi-table KPI / trend aggregation</t>
        </is>
      </c>
      <c r="R6" s="52" t="inlineStr">
        <is>
          <t>High</t>
        </is>
      </c>
      <c r="S6" s="48" t="inlineStr">
        <is>
          <t>Orbit KPI/Watchlist Tool with fixed formulas; cache intent/query plan, execute against live data; use Mesh only to explain computed results.</t>
        </is>
      </c>
      <c r="T6" s="48" t="inlineStr">
        <is>
          <t>Pending – Complex KPI SQL Design</t>
        </is>
      </c>
      <c r="U6" s="48" t="n"/>
      <c r="V6" s="48" t="inlineStr"/>
    </row>
    <row r="7" ht="80" customHeight="1" s="38">
      <c r="A7" s="48" t="inlineStr">
        <is>
          <t>New – Executive / KPI / Dashboard</t>
        </is>
      </c>
      <c r="B7" s="48" t="inlineStr"/>
      <c r="C7" s="48" t="inlineStr">
        <is>
          <t>CEO / Delivery Head</t>
        </is>
      </c>
      <c r="D7" s="48" t="inlineStr">
        <is>
          <t>High</t>
        </is>
      </c>
      <c r="E7" s="48" t="inlineStr">
        <is>
          <t>Executive Portfolio</t>
        </is>
      </c>
      <c r="F7" s="48" t="inlineStr">
        <is>
          <t>Executive Composite KPI</t>
        </is>
      </c>
      <c r="G7" s="52" t="inlineStr">
        <is>
          <t>Very Complex</t>
        </is>
      </c>
      <c r="H7" s="48" t="inlineStr">
        <is>
          <t>pm_delivery_performance_scorecard</t>
        </is>
      </c>
      <c r="I7" s="48" t="inlineStr">
        <is>
          <t>How are project managers performing across delivery, effort, risk, and issue KPIs?</t>
        </is>
      </c>
      <c r="J7" s="48" t="inlineStr">
        <is>
          <t>Show a comparative PM delivery scorecard.</t>
        </is>
      </c>
      <c r="K7" s="48" t="inlineStr">
        <is>
          <t>Which PMs consistently deliver healthy projects?</t>
        </is>
      </c>
      <c r="L7" s="48" t="inlineStr">
        <is>
          <t>period; scoring_weights; minimum_project_count</t>
        </is>
      </c>
      <c r="M7" s="48" t="inlineStr">
        <is>
          <t>Compare performance using consistent evidence rather than narrative judgement.</t>
        </is>
      </c>
      <c r="N7" s="48" t="inlineStr">
        <is>
          <t>Composite PM score from project RAG, on-time task rate, average overdue days, effort variance, issue closure rate, risk closure rate, and update freshness.</t>
        </is>
      </c>
      <c r="O7" s="48" t="inlineStr">
        <is>
          <t>tbl_projects; tbl_users; tbl_project_tasks; tbl_project_task_status; tbl_timesheets; tbl_project_issues; tbl_project_issue_status; tbl_risk; tbl_risk_status</t>
        </is>
      </c>
      <c r="P7" s="48" t="inlineStr">
        <is>
          <t>Available – KPI Rule Required</t>
        </is>
      </c>
      <c r="Q7" s="48" t="inlineStr">
        <is>
          <t>Composite multi-table ranking</t>
        </is>
      </c>
      <c r="R7" s="52" t="inlineStr">
        <is>
          <t>High</t>
        </is>
      </c>
      <c r="S7" s="48" t="inlineStr">
        <is>
          <t>Orbit KPI/Watchlist Tool with fixed formulas; cache intent/query plan, execute against live data; use Mesh only to explain computed results.</t>
        </is>
      </c>
      <c r="T7" s="48" t="inlineStr">
        <is>
          <t>Pending – Complex KPI SQL Design</t>
        </is>
      </c>
      <c r="U7" s="48" t="n"/>
      <c r="V7" s="48" t="inlineStr"/>
    </row>
    <row r="8" ht="80" customHeight="1" s="38">
      <c r="A8" s="48" t="inlineStr">
        <is>
          <t>New – Executive / KPI / Dashboard</t>
        </is>
      </c>
      <c r="B8" s="48" t="inlineStr"/>
      <c r="C8" s="48" t="inlineStr">
        <is>
          <t>CEO / Delivery Head / Finance</t>
        </is>
      </c>
      <c r="D8" s="48" t="inlineStr">
        <is>
          <t>High</t>
        </is>
      </c>
      <c r="E8" s="48" t="inlineStr">
        <is>
          <t>Executive Portfolio</t>
        </is>
      </c>
      <c r="F8" s="48" t="inlineStr">
        <is>
          <t>Executive KPI / Dashboard</t>
        </is>
      </c>
      <c r="G8" s="51" t="inlineStr">
        <is>
          <t>Complex</t>
        </is>
      </c>
      <c r="H8" s="48" t="inlineStr">
        <is>
          <t>portfolio_effort_burn_vs_completion</t>
        </is>
      </c>
      <c r="I8" s="48" t="inlineStr">
        <is>
          <t>Which projects are consuming effort faster than they are completing work?</t>
        </is>
      </c>
      <c r="J8" s="48" t="inlineStr">
        <is>
          <t>Compare effort burn against delivery completion across the portfolio.</t>
        </is>
      </c>
      <c r="K8" s="48" t="inlineStr">
        <is>
          <t>Where is effort consumption outpacing progress?</t>
        </is>
      </c>
      <c r="L8" s="48" t="inlineStr">
        <is>
          <t>as_of_date; burn_threshold; completion_method</t>
        </is>
      </c>
      <c r="M8" s="48" t="inlineStr">
        <is>
          <t>Identify likely overruns early.</t>
        </is>
      </c>
      <c r="N8" s="48" t="inlineStr">
        <is>
          <t>Compare project estimate, total_hours_booked, timesheet hours, and weighted task percent_complete. Flag high burn with low completion.</t>
        </is>
      </c>
      <c r="O8" s="48" t="inlineStr">
        <is>
          <t>tbl_projects; tbl_project_tasks; tbl_timesheets</t>
        </is>
      </c>
      <c r="P8" s="48" t="inlineStr">
        <is>
          <t>Available – KPI Rule Required</t>
        </is>
      </c>
      <c r="Q8" s="48" t="inlineStr">
        <is>
          <t>Predefined multi-table KPI / trend aggregation</t>
        </is>
      </c>
      <c r="R8" s="52" t="inlineStr">
        <is>
          <t>High</t>
        </is>
      </c>
      <c r="S8" s="48" t="inlineStr">
        <is>
          <t>Orbit KPI/Watchlist Tool with fixed formulas; cache intent/query plan, execute against live data; use Mesh only to explain computed results.</t>
        </is>
      </c>
      <c r="T8" s="48" t="inlineStr">
        <is>
          <t>Pending – Complex KPI SQL Design</t>
        </is>
      </c>
      <c r="U8" s="48" t="n"/>
      <c r="V8" s="48" t="inlineStr"/>
    </row>
    <row r="9" ht="80" customHeight="1" s="38">
      <c r="A9" s="48" t="inlineStr">
        <is>
          <t>New – Executive / KPI / Dashboard</t>
        </is>
      </c>
      <c r="B9" s="48" t="inlineStr"/>
      <c r="C9" s="48" t="inlineStr">
        <is>
          <t>CEO / Delivery Head / Finance</t>
        </is>
      </c>
      <c r="D9" s="48" t="inlineStr">
        <is>
          <t>High</t>
        </is>
      </c>
      <c r="E9" s="48" t="inlineStr">
        <is>
          <t>Executive Portfolio</t>
        </is>
      </c>
      <c r="F9" s="48" t="inlineStr">
        <is>
          <t>Exception / KPI</t>
        </is>
      </c>
      <c r="G9" s="51" t="inlineStr">
        <is>
          <t>Complex</t>
        </is>
      </c>
      <c r="H9" s="48" t="inlineStr">
        <is>
          <t>high_burn_low_completion_projects</t>
        </is>
      </c>
      <c r="I9" s="48" t="inlineStr">
        <is>
          <t>Which projects have consumed more than :burn_percent of estimated effort but completed less than :completion_percent of work?</t>
        </is>
      </c>
      <c r="J9" s="48" t="inlineStr">
        <is>
          <t>Find high-burn, low-progress projects.</t>
        </is>
      </c>
      <c r="K9" s="48" t="inlineStr">
        <is>
          <t>Which projects show the strongest effort-to-progress mismatch?</t>
        </is>
      </c>
      <c r="L9" s="48" t="inlineStr">
        <is>
          <t>burn_percent; completion_percent; as_of_date</t>
        </is>
      </c>
      <c r="M9" s="48" t="inlineStr">
        <is>
          <t>Create a focused overrun watchlist.</t>
        </is>
      </c>
      <c r="N9" s="48" t="inlineStr">
        <is>
          <t>Burn ratio = live logged/booked effort ÷ project estimate. Completion = governed weighted task completion. Filter using configured thresholds.</t>
        </is>
      </c>
      <c r="O9" s="48" t="inlineStr">
        <is>
          <t>tbl_projects; tbl_project_tasks; tbl_timesheets</t>
        </is>
      </c>
      <c r="P9" s="48" t="inlineStr">
        <is>
          <t>Available – KPI Rule Required</t>
        </is>
      </c>
      <c r="Q9" s="48" t="inlineStr">
        <is>
          <t>Predefined multi-table KPI / trend aggregation</t>
        </is>
      </c>
      <c r="R9" s="52" t="inlineStr">
        <is>
          <t>High</t>
        </is>
      </c>
      <c r="S9" s="48" t="inlineStr">
        <is>
          <t>Orbit KPI/Watchlist Tool with fixed formulas; cache intent/query plan, execute against live data; use Mesh only to explain computed results.</t>
        </is>
      </c>
      <c r="T9" s="48" t="inlineStr">
        <is>
          <t>Pending – Complex KPI SQL Design</t>
        </is>
      </c>
      <c r="U9" s="48" t="n"/>
      <c r="V9" s="48" t="inlineStr"/>
    </row>
    <row r="10" ht="80" customHeight="1" s="38">
      <c r="A10" s="48" t="inlineStr">
        <is>
          <t>New – Executive / KPI / Dashboard</t>
        </is>
      </c>
      <c r="B10" s="48" t="inlineStr"/>
      <c r="C10" s="48" t="inlineStr">
        <is>
          <t>CEO / Client Leadership / Delivery Head</t>
        </is>
      </c>
      <c r="D10" s="48" t="inlineStr">
        <is>
          <t>High</t>
        </is>
      </c>
      <c r="E10" s="48" t="inlineStr">
        <is>
          <t>Executive Portfolio</t>
        </is>
      </c>
      <c r="F10" s="48" t="inlineStr">
        <is>
          <t>Executive Composite KPI</t>
        </is>
      </c>
      <c r="G10" s="52" t="inlineStr">
        <is>
          <t>Very Complex</t>
        </is>
      </c>
      <c r="H10" s="48" t="inlineStr">
        <is>
          <t>client_delivery_exposure</t>
        </is>
      </c>
      <c r="I10" s="48" t="inlineStr">
        <is>
          <t>Which clients have the greatest delivery exposure across active projects?</t>
        </is>
      </c>
      <c r="J10" s="48" t="inlineStr">
        <is>
          <t>Rank clients by project value, unhealthy RAG, overdue work, risks, and issues.</t>
        </is>
      </c>
      <c r="K10" s="48" t="inlineStr">
        <is>
          <t>Where is client relationship risk concentrated?</t>
        </is>
      </c>
      <c r="L10" s="48" t="inlineStr">
        <is>
          <t>as_of_date; top_n</t>
        </is>
      </c>
      <c r="M10" s="48" t="inlineStr">
        <is>
          <t>Protect strategic client relationships and revenue.</t>
        </is>
      </c>
      <c r="N10" s="48" t="inlineStr">
        <is>
          <t>Aggregate project count, deal value, RAG mix, overdue-task ratio, issue severity, and risk exposure by client.</t>
        </is>
      </c>
      <c r="O10" s="48" t="inlineStr">
        <is>
          <t>tbl_projects; tbl_clients; tbl_project_tasks; tbl_project_issues; tbl_risk</t>
        </is>
      </c>
      <c r="P10" s="48" t="inlineStr">
        <is>
          <t>Available – KPI Rule Required</t>
        </is>
      </c>
      <c r="Q10" s="48" t="inlineStr">
        <is>
          <t>Composite multi-table ranking</t>
        </is>
      </c>
      <c r="R10" s="52" t="inlineStr">
        <is>
          <t>High</t>
        </is>
      </c>
      <c r="S10" s="48" t="inlineStr">
        <is>
          <t>Orbit KPI/Watchlist Tool with fixed formulas; cache intent/query plan, execute against live data; use Mesh only to explain computed results.</t>
        </is>
      </c>
      <c r="T10" s="48" t="inlineStr">
        <is>
          <t>Pending – Complex KPI SQL Design</t>
        </is>
      </c>
      <c r="U10" s="48" t="n"/>
      <c r="V10" s="48" t="inlineStr"/>
    </row>
    <row r="11" ht="80" customHeight="1" s="38">
      <c r="A11" s="48" t="inlineStr">
        <is>
          <t>New – Executive / KPI / Dashboard</t>
        </is>
      </c>
      <c r="B11" s="48" t="inlineStr"/>
      <c r="C11" s="48" t="inlineStr">
        <is>
          <t>CEO / Strategy / Delivery Head</t>
        </is>
      </c>
      <c r="D11" s="48" t="inlineStr">
        <is>
          <t>High</t>
        </is>
      </c>
      <c r="E11" s="48" t="inlineStr">
        <is>
          <t>Executive Portfolio</t>
        </is>
      </c>
      <c r="F11" s="48" t="inlineStr">
        <is>
          <t>Executive KPI / Dashboard</t>
        </is>
      </c>
      <c r="G11" s="51" t="inlineStr">
        <is>
          <t>Complex</t>
        </is>
      </c>
      <c r="H11" s="48" t="inlineStr">
        <is>
          <t>portfolio_segment_performance</t>
        </is>
      </c>
      <c r="I11" s="48" t="inlineStr">
        <is>
          <t>Which project types, business models, sources, or categories have the highest delay and overrun rates?</t>
        </is>
      </c>
      <c r="J11" s="48" t="inlineStr">
        <is>
          <t>Compare delivery performance across portfolio segments.</t>
        </is>
      </c>
      <c r="K11" s="48" t="inlineStr">
        <is>
          <t>Which types of work are structurally underperforming?</t>
        </is>
      </c>
      <c r="L11" s="48" t="inlineStr">
        <is>
          <t>period; segment_dimension; minimum_project_count</t>
        </is>
      </c>
      <c r="M11" s="48" t="inlineStr">
        <is>
          <t>Improve portfolio strategy, pricing, and delivery model choices.</t>
        </is>
      </c>
      <c r="N11" s="48" t="inlineStr">
        <is>
          <t>Group by project_type/project_type_id, business_model, source, or category_type; compare overdue rate, RAG mix, effort variance, issue rate, and risk exposure.</t>
        </is>
      </c>
      <c r="O11" s="48" t="inlineStr">
        <is>
          <t>tbl_projects; tbl_project_types; tbl_project_tasks; tbl_timesheets; tbl_project_issues; tbl_risk</t>
        </is>
      </c>
      <c r="P11" s="48" t="inlineStr">
        <is>
          <t>Available – KPI Rule Required</t>
        </is>
      </c>
      <c r="Q11" s="48" t="inlineStr">
        <is>
          <t>Predefined multi-table KPI / trend aggregation</t>
        </is>
      </c>
      <c r="R11" s="52" t="inlineStr">
        <is>
          <t>High</t>
        </is>
      </c>
      <c r="S11" s="48" t="inlineStr">
        <is>
          <t>Orbit KPI/Watchlist Tool with fixed formulas; cache intent/query plan, execute against live data; use Mesh only to explain computed results.</t>
        </is>
      </c>
      <c r="T11" s="48" t="inlineStr">
        <is>
          <t>Pending – Complex KPI SQL Design</t>
        </is>
      </c>
      <c r="U11" s="48" t="n"/>
      <c r="V11" s="48" t="inlineStr"/>
    </row>
    <row r="12" ht="80" customHeight="1" s="38">
      <c r="A12" s="48" t="inlineStr">
        <is>
          <t>New – Executive / KPI / Dashboard</t>
        </is>
      </c>
      <c r="B12" s="48" t="inlineStr"/>
      <c r="C12" s="48" t="inlineStr">
        <is>
          <t>CEO / Audit / Delivery Head</t>
        </is>
      </c>
      <c r="D12" s="48" t="inlineStr">
        <is>
          <t>High</t>
        </is>
      </c>
      <c r="E12" s="48" t="inlineStr">
        <is>
          <t>Governance</t>
        </is>
      </c>
      <c r="F12" s="48" t="inlineStr">
        <is>
          <t>Executive KPI / Dashboard</t>
        </is>
      </c>
      <c r="G12" s="51" t="inlineStr">
        <is>
          <t>Complex</t>
        </is>
      </c>
      <c r="H12" s="48" t="inlineStr">
        <is>
          <t>high_value_governance_gaps</t>
        </is>
      </c>
      <c r="I12" s="48" t="inlineStr">
        <is>
          <t>Which high-value projects have unresolved governance or audit gaps?</t>
        </is>
      </c>
      <c r="J12" s="48" t="inlineStr">
        <is>
          <t>Show projects with pending/review audit status and high deal value.</t>
        </is>
      </c>
      <c r="K12" s="48" t="inlineStr">
        <is>
          <t>Where are governance gaps creating material exposure?</t>
        </is>
      </c>
      <c r="L12" s="48" t="inlineStr">
        <is>
          <t>deal_value_threshold; as_of_date</t>
        </is>
      </c>
      <c r="M12" s="48" t="inlineStr">
        <is>
          <t>Prioritise governance remediation on materially important projects.</t>
        </is>
      </c>
      <c r="N12" s="48" t="inlineStr">
        <is>
          <t>Filter projects with audit_status not confirmed or missing/blank lifecycle evidence fields; rank by deal_value and health indicators.</t>
        </is>
      </c>
      <c r="O12" s="48" t="inlineStr">
        <is>
          <t>tbl_projects</t>
        </is>
      </c>
      <c r="P12" s="48" t="inlineStr">
        <is>
          <t>Available – KPI Rule Required</t>
        </is>
      </c>
      <c r="Q12" s="48" t="inlineStr">
        <is>
          <t>Predefined multi-table KPI / trend aggregation</t>
        </is>
      </c>
      <c r="R12" s="52" t="inlineStr">
        <is>
          <t>High</t>
        </is>
      </c>
      <c r="S12" s="48" t="inlineStr">
        <is>
          <t>Orbit KPI/Watchlist Tool with fixed formulas; cache intent/query plan, execute against live data; use Mesh only to explain computed results.</t>
        </is>
      </c>
      <c r="T12" s="48" t="inlineStr">
        <is>
          <t>Pending – Complex KPI SQL Design</t>
        </is>
      </c>
      <c r="U12" s="48" t="n"/>
      <c r="V12" s="48" t="inlineStr"/>
    </row>
    <row r="13" ht="80" customHeight="1" s="38">
      <c r="A13" s="48" t="inlineStr">
        <is>
          <t>New – Executive / KPI / Dashboard</t>
        </is>
      </c>
      <c r="B13" s="48" t="inlineStr"/>
      <c r="C13" s="48" t="inlineStr">
        <is>
          <t>CEO / Delivery Head / PMO</t>
        </is>
      </c>
      <c r="D13" s="48" t="inlineStr">
        <is>
          <t>High</t>
        </is>
      </c>
      <c r="E13" s="48" t="inlineStr">
        <is>
          <t>Executive Reporting</t>
        </is>
      </c>
      <c r="F13" s="48" t="inlineStr">
        <is>
          <t>Exception / KPI</t>
        </is>
      </c>
      <c r="G13" s="51" t="inlineStr">
        <is>
          <t>Complex</t>
        </is>
      </c>
      <c r="H13" s="48" t="inlineStr">
        <is>
          <t>executive_summary_freshness</t>
        </is>
      </c>
      <c r="I13" s="48" t="inlineStr">
        <is>
          <t>Which active projects have stale or missing executive summaries?</t>
        </is>
      </c>
      <c r="J13" s="48" t="inlineStr">
        <is>
          <t>Show projects without a recent management update.</t>
        </is>
      </c>
      <c r="K13" s="48" t="inlineStr">
        <is>
          <t>Which projects have not provided an executive summary within :days days?</t>
        </is>
      </c>
      <c r="L13" s="48" t="inlineStr">
        <is>
          <t>days; as_of_date</t>
        </is>
      </c>
      <c r="M13" s="48" t="inlineStr">
        <is>
          <t>Improve management visibility and reporting discipline.</t>
        </is>
      </c>
      <c r="N13" s="48" t="inlineStr">
        <is>
          <t>For each active project, compare latest tbl_project_executive_summary.save_date/post_date with as_of_date; rank stale projects by deal value and RAG.</t>
        </is>
      </c>
      <c r="O13" s="48" t="inlineStr">
        <is>
          <t>tbl_projects; tbl_project_executive_summary</t>
        </is>
      </c>
      <c r="P13" s="48" t="inlineStr">
        <is>
          <t>Available – KPI Rule Required</t>
        </is>
      </c>
      <c r="Q13" s="48" t="inlineStr">
        <is>
          <t>Predefined multi-table KPI / trend aggregation</t>
        </is>
      </c>
      <c r="R13" s="52" t="inlineStr">
        <is>
          <t>High</t>
        </is>
      </c>
      <c r="S13" s="48" t="inlineStr">
        <is>
          <t>Orbit KPI/Watchlist Tool with fixed formulas; cache intent/query plan, execute against live data; use Mesh only to explain computed results.</t>
        </is>
      </c>
      <c r="T13" s="48" t="inlineStr">
        <is>
          <t>Pending – Complex KPI SQL Design</t>
        </is>
      </c>
      <c r="U13" s="48" t="n"/>
      <c r="V13" s="48" t="inlineStr"/>
    </row>
    <row r="14" ht="80" customHeight="1" s="38">
      <c r="A14" s="48" t="inlineStr">
        <is>
          <t>New – Executive / KPI / Dashboard</t>
        </is>
      </c>
      <c r="B14" s="48" t="inlineStr"/>
      <c r="C14" s="48" t="inlineStr">
        <is>
          <t>CEO / Client Leadership / Delivery Head</t>
        </is>
      </c>
      <c r="D14" s="48" t="inlineStr">
        <is>
          <t>High</t>
        </is>
      </c>
      <c r="E14" s="48" t="inlineStr">
        <is>
          <t>Executive Reporting</t>
        </is>
      </c>
      <c r="F14" s="48" t="inlineStr">
        <is>
          <t>Executive Composite KPI</t>
        </is>
      </c>
      <c r="G14" s="52" t="inlineStr">
        <is>
          <t>Very Complex</t>
        </is>
      </c>
      <c r="H14" s="48" t="inlineStr">
        <is>
          <t>client_mood_objective_health_mismatch</t>
        </is>
      </c>
      <c r="I14" s="48" t="inlineStr">
        <is>
          <t>Where does reported client mood conflict with objective project health indicators?</t>
        </is>
      </c>
      <c r="J14" s="48" t="inlineStr">
        <is>
          <t>Find projects showing positive client mood but deteriorating delivery KPIs.</t>
        </is>
      </c>
      <c r="K14" s="48" t="inlineStr">
        <is>
          <t>Which projects have a narrative-versus-data mismatch?</t>
        </is>
      </c>
      <c r="L14" s="48" t="inlineStr">
        <is>
          <t>period; mismatch_rules</t>
        </is>
      </c>
      <c r="M14" s="48" t="inlineStr">
        <is>
          <t>Detect optimism bias or stale narrative reporting.</t>
        </is>
      </c>
      <c r="N14" s="48" t="inlineStr">
        <is>
          <t>Compare latest client_mood/stage/live_issues/resource narrative fields with project RAG, overdue tasks, issue severity, risk exposure, and effort burn.</t>
        </is>
      </c>
      <c r="O14" s="48" t="inlineStr">
        <is>
          <t>tbl_projects; tbl_project_executive_summary; tbl_project_tasks; tbl_project_issues; tbl_risk</t>
        </is>
      </c>
      <c r="P14" s="48" t="inlineStr">
        <is>
          <t>Available – KPI Rule Required</t>
        </is>
      </c>
      <c r="Q14" s="48" t="inlineStr">
        <is>
          <t>Composite multi-table ranking</t>
        </is>
      </c>
      <c r="R14" s="52" t="inlineStr">
        <is>
          <t>High</t>
        </is>
      </c>
      <c r="S14" s="48" t="inlineStr">
        <is>
          <t>Orbit KPI/Watchlist Tool with fixed formulas; cache intent/query plan, execute against live data; use Mesh only to explain computed results.</t>
        </is>
      </c>
      <c r="T14" s="48" t="inlineStr">
        <is>
          <t>Pending – Complex KPI SQL Design</t>
        </is>
      </c>
      <c r="U14" s="48" t="n"/>
      <c r="V14" s="48" t="inlineStr"/>
    </row>
    <row r="15" ht="80" customHeight="1" s="38">
      <c r="A15" s="48" t="inlineStr">
        <is>
          <t>New – Executive / KPI / Dashboard</t>
        </is>
      </c>
      <c r="B15" s="48" t="inlineStr"/>
      <c r="C15" s="48" t="inlineStr">
        <is>
          <t>CEO / Strategy / Delivery Head</t>
        </is>
      </c>
      <c r="D15" s="48" t="inlineStr">
        <is>
          <t>High</t>
        </is>
      </c>
      <c r="E15" s="48" t="inlineStr">
        <is>
          <t>Executive Portfolio</t>
        </is>
      </c>
      <c r="F15" s="48" t="inlineStr">
        <is>
          <t>Trend / Dashboard KPI</t>
        </is>
      </c>
      <c r="G15" s="51" t="inlineStr">
        <is>
          <t>Complex</t>
        </is>
      </c>
      <c r="H15" s="48" t="inlineStr">
        <is>
          <t>quarterly_portfolio_flow</t>
        </is>
      </c>
      <c r="I15" s="48" t="inlineStr">
        <is>
          <t>What is the quarterly trend of projects started, due, completed, and overdue?</t>
        </is>
      </c>
      <c r="J15" s="48" t="inlineStr">
        <is>
          <t>Show portfolio inflow and delivery outcomes by quarter.</t>
        </is>
      </c>
      <c r="K15" s="48" t="inlineStr">
        <is>
          <t>Is the organisation taking on work faster than it completes it?</t>
        </is>
      </c>
      <c r="L15" s="48" t="inlineStr">
        <is>
          <t>start_date; end_date; completion_status_types</t>
        </is>
      </c>
      <c r="M15" s="48" t="inlineStr">
        <is>
          <t>Assess portfolio throughput and capacity pressure.</t>
        </is>
      </c>
      <c r="N15" s="48" t="inlineStr">
        <is>
          <t>Count projects by start_date, end_date, and configured completed status; calculate overdue projects at each quarter end.</t>
        </is>
      </c>
      <c r="O15" s="48" t="inlineStr">
        <is>
          <t>tbl_projects; tbl_project_status</t>
        </is>
      </c>
      <c r="P15" s="48" t="inlineStr">
        <is>
          <t>Available – KPI Rule Required</t>
        </is>
      </c>
      <c r="Q15" s="48" t="inlineStr">
        <is>
          <t>Predefined multi-table KPI / trend aggregation</t>
        </is>
      </c>
      <c r="R15" s="52" t="inlineStr">
        <is>
          <t>High</t>
        </is>
      </c>
      <c r="S15" s="48" t="inlineStr">
        <is>
          <t>Orbit KPI/Watchlist Tool with fixed formulas; cache intent/query plan, execute against live data; use Mesh only to explain computed results.</t>
        </is>
      </c>
      <c r="T15" s="48" t="inlineStr">
        <is>
          <t>Pending – Complex KPI SQL Design</t>
        </is>
      </c>
      <c r="U15" s="48" t="n"/>
      <c r="V15" s="48" t="inlineStr"/>
    </row>
    <row r="16" ht="80" customHeight="1" s="38">
      <c r="A16" s="48" t="inlineStr">
        <is>
          <t>New – Executive / KPI / Dashboard</t>
        </is>
      </c>
      <c r="B16" s="48" t="inlineStr"/>
      <c r="C16" s="48" t="inlineStr">
        <is>
          <t>CEO / Delivery Head / PMO</t>
        </is>
      </c>
      <c r="D16" s="48" t="inlineStr">
        <is>
          <t>High</t>
        </is>
      </c>
      <c r="E16" s="48" t="inlineStr">
        <is>
          <t>Executive Portfolio</t>
        </is>
      </c>
      <c r="F16" s="48" t="inlineStr">
        <is>
          <t>Exception / KPI</t>
        </is>
      </c>
      <c r="G16" s="51" t="inlineStr">
        <is>
          <t>Complex</t>
        </is>
      </c>
      <c r="H16" s="48" t="inlineStr">
        <is>
          <t>stage_aging</t>
        </is>
      </c>
      <c r="I16" s="48" t="inlineStr">
        <is>
          <t>Which projects have remained in the same delivery stage for too long?</t>
        </is>
      </c>
      <c r="J16" s="48" t="inlineStr">
        <is>
          <t>Show stage aging across active projects.</t>
        </is>
      </c>
      <c r="K16" s="48" t="inlineStr">
        <is>
          <t>Which projects appear stuck in their current stage?</t>
        </is>
      </c>
      <c r="L16" s="48" t="inlineStr">
        <is>
          <t>as_of_date; stage_age_thresholds</t>
        </is>
      </c>
      <c r="M16" s="48" t="inlineStr">
        <is>
          <t>Identify stalled projects while clearly exposing the data limitation.</t>
        </is>
      </c>
      <c r="N16" s="48" t="inlineStr">
        <is>
          <t>Use project_stage_id and update_date as an available proxy for stage aging; exact stage-entry age requires history and should be labelled approximate.</t>
        </is>
      </c>
      <c r="O16" s="48" t="inlineStr">
        <is>
          <t>tbl_projects; tbl_project_stages</t>
        </is>
      </c>
      <c r="P16" s="48" t="inlineStr">
        <is>
          <t>Available – KPI Rule Required</t>
        </is>
      </c>
      <c r="Q16" s="48" t="inlineStr">
        <is>
          <t>Predefined multi-table KPI / trend aggregation</t>
        </is>
      </c>
      <c r="R16" s="52" t="inlineStr">
        <is>
          <t>High</t>
        </is>
      </c>
      <c r="S16" s="48" t="inlineStr">
        <is>
          <t>Orbit KPI/Watchlist Tool with fixed formulas; cache intent/query plan, execute against live data; use Mesh only to explain computed results.</t>
        </is>
      </c>
      <c r="T16" s="48" t="inlineStr">
        <is>
          <t>Pending – Complex KPI SQL Design</t>
        </is>
      </c>
      <c r="U16" s="48" t="n"/>
      <c r="V16" s="48" t="inlineStr">
        <is>
          <t>Approximate metric because project stage history is not populated.</t>
        </is>
      </c>
    </row>
    <row r="17" ht="80" customHeight="1" s="38">
      <c r="A17" s="48" t="inlineStr">
        <is>
          <t>New – Executive / KPI / Dashboard</t>
        </is>
      </c>
      <c r="B17" s="48" t="inlineStr"/>
      <c r="C17" s="48" t="inlineStr">
        <is>
          <t>CEO / Delivery Head / PMO</t>
        </is>
      </c>
      <c r="D17" s="48" t="inlineStr">
        <is>
          <t>High</t>
        </is>
      </c>
      <c r="E17" s="48" t="inlineStr">
        <is>
          <t>Delivery Health</t>
        </is>
      </c>
      <c r="F17" s="48" t="inlineStr">
        <is>
          <t>Exception / Diagnostic</t>
        </is>
      </c>
      <c r="G17" s="51" t="inlineStr">
        <is>
          <t>Complex</t>
        </is>
      </c>
      <c r="H17" s="48" t="inlineStr">
        <is>
          <t>active_projects_without_recent_activity</t>
        </is>
      </c>
      <c r="I17" s="48" t="inlineStr">
        <is>
          <t>Which active projects show no recent task, issue, risk, timesheet, or summary activity?</t>
        </is>
      </c>
      <c r="J17" s="48" t="inlineStr">
        <is>
          <t>Find active projects that appear dormant.</t>
        </is>
      </c>
      <c r="K17" s="48" t="inlineStr">
        <is>
          <t>Which projects have had no operational activity in the last :days days?</t>
        </is>
      </c>
      <c r="L17" s="48" t="inlineStr">
        <is>
          <t>days; as_of_date</t>
        </is>
      </c>
      <c r="M17" s="48" t="inlineStr">
        <is>
          <t>Detect abandoned, inaccurately active, or poorly maintained projects.</t>
        </is>
      </c>
      <c r="N17" s="48" t="inlineStr">
        <is>
          <t>Calculate the latest activity date across project update, task update, issue update, risk update/history, timesheet, and executive summary.</t>
        </is>
      </c>
      <c r="O17" s="48" t="inlineStr">
        <is>
          <t>tbl_projects; tbl_project_tasks; tbl_project_issues; tbl_risk; tbl_risk_history; tbl_timesheets; tbl_project_executive_summary</t>
        </is>
      </c>
      <c r="P17" s="48" t="inlineStr">
        <is>
          <t>Available – KPI Rule Required</t>
        </is>
      </c>
      <c r="Q17" s="48" t="inlineStr">
        <is>
          <t>Predefined multi-table KPI / trend aggregation</t>
        </is>
      </c>
      <c r="R17" s="52" t="inlineStr">
        <is>
          <t>High</t>
        </is>
      </c>
      <c r="S17" s="48" t="inlineStr">
        <is>
          <t>Orbit KPI/Watchlist Tool with fixed formulas; cache intent/query plan, execute against live data; use Mesh only to explain computed results.</t>
        </is>
      </c>
      <c r="T17" s="48" t="inlineStr">
        <is>
          <t>Pending – Complex KPI SQL Design</t>
        </is>
      </c>
      <c r="U17" s="48" t="n"/>
      <c r="V17" s="48" t="inlineStr"/>
    </row>
    <row r="18" ht="80" customHeight="1" s="38">
      <c r="A18" s="48" t="inlineStr">
        <is>
          <t>New – Executive / KPI / Dashboard</t>
        </is>
      </c>
      <c r="B18" s="48" t="inlineStr"/>
      <c r="C18" s="48" t="inlineStr">
        <is>
          <t>Delivery Head / PMO / PM</t>
        </is>
      </c>
      <c r="D18" s="48" t="inlineStr">
        <is>
          <t>High</t>
        </is>
      </c>
      <c r="E18" s="48" t="inlineStr">
        <is>
          <t>Delivery Health</t>
        </is>
      </c>
      <c r="F18" s="48" t="inlineStr">
        <is>
          <t>Exception / Diagnostic</t>
        </is>
      </c>
      <c r="G18" s="51" t="inlineStr">
        <is>
          <t>Complex</t>
        </is>
      </c>
      <c r="H18" s="48" t="inlineStr">
        <is>
          <t>project_end_before_open_task_due</t>
        </is>
      </c>
      <c r="I18" s="48" t="inlineStr">
        <is>
          <t>Which projects have open tasks due after the project end date?</t>
        </is>
      </c>
      <c r="J18" s="48" t="inlineStr">
        <is>
          <t>Show project schedules that are internally inconsistent.</t>
        </is>
      </c>
      <c r="K18" s="48" t="inlineStr">
        <is>
          <t>Which committed project dates are earlier than their remaining task deadlines?</t>
        </is>
      </c>
      <c r="L18" s="48" t="inlineStr">
        <is>
          <t>as_of_date</t>
        </is>
      </c>
      <c r="M18" s="48" t="inlineStr">
        <is>
          <t>Identify schedule-plan inconsistencies requiring rebaselining.</t>
        </is>
      </c>
      <c r="N18" s="48" t="inlineStr">
        <is>
          <t>Find active/open tasks where task.due_date &gt; project.end_date; summarise count, latest due date, and high-priority exposure by project.</t>
        </is>
      </c>
      <c r="O18" s="48" t="inlineStr">
        <is>
          <t>tbl_projects; tbl_project_tasks; tbl_project_task_status</t>
        </is>
      </c>
      <c r="P18" s="48" t="inlineStr">
        <is>
          <t>Available – KPI Rule Required</t>
        </is>
      </c>
      <c r="Q18" s="48" t="inlineStr">
        <is>
          <t>Predefined multi-table KPI / trend aggregation</t>
        </is>
      </c>
      <c r="R18" s="52" t="inlineStr">
        <is>
          <t>High</t>
        </is>
      </c>
      <c r="S18" s="48" t="inlineStr">
        <is>
          <t>Orbit KPI/Watchlist Tool with fixed formulas; cache intent/query plan, execute against live data; use Mesh only to explain computed results.</t>
        </is>
      </c>
      <c r="T18" s="48" t="inlineStr">
        <is>
          <t>Pending – Complex KPI SQL Design</t>
        </is>
      </c>
      <c r="U18" s="48" t="n"/>
      <c r="V18" s="48" t="inlineStr"/>
    </row>
    <row r="19" ht="80" customHeight="1" s="38">
      <c r="A19" s="48" t="inlineStr">
        <is>
          <t>New – Executive / KPI / Dashboard</t>
        </is>
      </c>
      <c r="B19" s="48" t="inlineStr"/>
      <c r="C19" s="48" t="inlineStr">
        <is>
          <t>Delivery Head / PM / Team Lead</t>
        </is>
      </c>
      <c r="D19" s="48" t="inlineStr">
        <is>
          <t>High</t>
        </is>
      </c>
      <c r="E19" s="48" t="inlineStr">
        <is>
          <t>Tasks</t>
        </is>
      </c>
      <c r="F19" s="48" t="inlineStr">
        <is>
          <t>Executive Composite KPI</t>
        </is>
      </c>
      <c r="G19" s="52" t="inlineStr">
        <is>
          <t>Very Complex</t>
        </is>
      </c>
      <c r="H19" s="48" t="inlineStr">
        <is>
          <t>critical_bottleneck_tasks</t>
        </is>
      </c>
      <c r="I19" s="48" t="inlineStr">
        <is>
          <t>Which incomplete tasks are blocking the largest number of dependent tasks?</t>
        </is>
      </c>
      <c r="J19" s="48" t="inlineStr">
        <is>
          <t>Rank overdue bottleneck tasks by downstream dependency count.</t>
        </is>
      </c>
      <c r="K19" s="48" t="inlineStr">
        <is>
          <t>What tasks create the greatest delivery bottleneck?</t>
        </is>
      </c>
      <c r="L19" s="48" t="inlineStr">
        <is>
          <t>project_identifier; as_of_date; top_n</t>
        </is>
      </c>
      <c r="M19" s="48" t="inlineStr">
        <is>
          <t>Focus execution on blockers with the largest downstream impact.</t>
        </is>
      </c>
      <c r="N19" s="48" t="inlineStr">
        <is>
          <t>Count tasks whose dependent_task_id points to each incomplete task; combine downstream count, overdue days, priority, RAG, and assignee availability.</t>
        </is>
      </c>
      <c r="O19" s="48" t="inlineStr">
        <is>
          <t>tbl_project_tasks; tbl_project_task_status; tbl_project_task_users; tbl_projects</t>
        </is>
      </c>
      <c r="P19" s="48" t="inlineStr">
        <is>
          <t>Available – KPI Rule Required</t>
        </is>
      </c>
      <c r="Q19" s="48" t="inlineStr">
        <is>
          <t>Composite multi-table ranking</t>
        </is>
      </c>
      <c r="R19" s="52" t="inlineStr">
        <is>
          <t>High</t>
        </is>
      </c>
      <c r="S19" s="48" t="inlineStr">
        <is>
          <t>Orbit KPI/Watchlist Tool with fixed formulas; cache intent/query plan, execute against live data; use Mesh only to explain computed results.</t>
        </is>
      </c>
      <c r="T19" s="48" t="inlineStr">
        <is>
          <t>Pending – Complex KPI SQL Design</t>
        </is>
      </c>
      <c r="U19" s="48" t="n"/>
      <c r="V19" s="48" t="inlineStr"/>
    </row>
    <row r="20" ht="80" customHeight="1" s="38">
      <c r="A20" s="48" t="inlineStr">
        <is>
          <t>New – Executive / KPI / Dashboard</t>
        </is>
      </c>
      <c r="B20" s="48" t="inlineStr"/>
      <c r="C20" s="48" t="inlineStr">
        <is>
          <t>Delivery Head / Portfolio Head / PMO</t>
        </is>
      </c>
      <c r="D20" s="48" t="inlineStr">
        <is>
          <t>High</t>
        </is>
      </c>
      <c r="E20" s="48" t="inlineStr">
        <is>
          <t>Tasks</t>
        </is>
      </c>
      <c r="F20" s="48" t="inlineStr">
        <is>
          <t>Dashboard KPI</t>
        </is>
      </c>
      <c r="G20" s="51" t="inlineStr">
        <is>
          <t>Complex</t>
        </is>
      </c>
      <c r="H20" s="48" t="inlineStr">
        <is>
          <t>high_priority_backlog_concentration</t>
        </is>
      </c>
      <c r="I20" s="48" t="inlineStr">
        <is>
          <t>Which projects contain the highest concentration of open High-priority or Red-RAG tasks?</t>
        </is>
      </c>
      <c r="J20" s="48" t="inlineStr">
        <is>
          <t>Rank projects by critical task backlog.</t>
        </is>
      </c>
      <c r="K20" s="48" t="inlineStr">
        <is>
          <t>Where is urgent delivery work concentrated?</t>
        </is>
      </c>
      <c r="L20" s="48" t="inlineStr">
        <is>
          <t>as_of_date; top_n</t>
        </is>
      </c>
      <c r="M20" s="48" t="inlineStr">
        <is>
          <t>Prioritise portfolio recovery actions.</t>
        </is>
      </c>
      <c r="N20" s="48" t="inlineStr">
        <is>
          <t>Critical backlog ratio = open High-priority or configured Red-RAG tasks ÷ all open tasks; include count and overdue days.</t>
        </is>
      </c>
      <c r="O20" s="48" t="inlineStr">
        <is>
          <t>tbl_projects; tbl_project_tasks; tbl_project_task_status</t>
        </is>
      </c>
      <c r="P20" s="48" t="inlineStr">
        <is>
          <t>Available – KPI Rule Required</t>
        </is>
      </c>
      <c r="Q20" s="48" t="inlineStr">
        <is>
          <t>Predefined multi-table KPI / trend aggregation</t>
        </is>
      </c>
      <c r="R20" s="52" t="inlineStr">
        <is>
          <t>High</t>
        </is>
      </c>
      <c r="S20" s="48" t="inlineStr">
        <is>
          <t>Orbit KPI/Watchlist Tool with fixed formulas; cache intent/query plan, execute against live data; use Mesh only to explain computed results.</t>
        </is>
      </c>
      <c r="T20" s="48" t="inlineStr">
        <is>
          <t>Pending – Complex KPI SQL Design</t>
        </is>
      </c>
      <c r="U20" s="48" t="n"/>
      <c r="V20" s="48" t="inlineStr"/>
    </row>
    <row r="21" ht="80" customHeight="1" s="38">
      <c r="A21" s="48" t="inlineStr">
        <is>
          <t>New – Executive / KPI / Dashboard</t>
        </is>
      </c>
      <c r="B21" s="48" t="inlineStr"/>
      <c r="C21" s="48" t="inlineStr">
        <is>
          <t>PM / Team Lead / Delivery Head</t>
        </is>
      </c>
      <c r="D21" s="48" t="inlineStr">
        <is>
          <t>High</t>
        </is>
      </c>
      <c r="E21" s="48" t="inlineStr">
        <is>
          <t>Tasks</t>
        </is>
      </c>
      <c r="F21" s="48" t="inlineStr">
        <is>
          <t>Exception / KPI</t>
        </is>
      </c>
      <c r="G21" s="51" t="inlineStr">
        <is>
          <t>Complex</t>
        </is>
      </c>
      <c r="H21" s="48" t="inlineStr">
        <is>
          <t>tasks_due_soon_low_completion</t>
        </is>
      </c>
      <c r="I21" s="48" t="inlineStr">
        <is>
          <t>Which tasks are due within :days days but remain below :completion_percent complete?</t>
        </is>
      </c>
      <c r="J21" s="48" t="inlineStr">
        <is>
          <t>Show near-term tasks at risk of missing due dates.</t>
        </is>
      </c>
      <c r="K21" s="48" t="inlineStr">
        <is>
          <t>What upcoming work needs immediate action?</t>
        </is>
      </c>
      <c r="L21" s="48" t="inlineStr">
        <is>
          <t>days; completion_percent; as_of_date; optional_project</t>
        </is>
      </c>
      <c r="M21" s="48" t="inlineStr">
        <is>
          <t>Create a proactive short-term execution watchlist.</t>
        </is>
      </c>
      <c r="N21" s="48" t="inlineStr">
        <is>
          <t>Filter open tasks by due-date horizon and percent_complete threshold; rank by priority, RAG, estimate_complete, and dependency impact.</t>
        </is>
      </c>
      <c r="O21" s="48" t="inlineStr">
        <is>
          <t>tbl_project_tasks; tbl_project_task_status; tbl_projects</t>
        </is>
      </c>
      <c r="P21" s="48" t="inlineStr">
        <is>
          <t>Available – KPI Rule Required</t>
        </is>
      </c>
      <c r="Q21" s="48" t="inlineStr">
        <is>
          <t>Predefined multi-table KPI / trend aggregation</t>
        </is>
      </c>
      <c r="R21" s="52" t="inlineStr">
        <is>
          <t>High</t>
        </is>
      </c>
      <c r="S21" s="48" t="inlineStr">
        <is>
          <t>Orbit KPI/Watchlist Tool with fixed formulas; cache intent/query plan, execute against live data; use Mesh only to explain computed results.</t>
        </is>
      </c>
      <c r="T21" s="48" t="inlineStr">
        <is>
          <t>Pending – Complex KPI SQL Design</t>
        </is>
      </c>
      <c r="U21" s="48" t="n"/>
      <c r="V21" s="48" t="inlineStr"/>
    </row>
    <row r="22" ht="80" customHeight="1" s="38">
      <c r="A22" s="48" t="inlineStr">
        <is>
          <t>New – Executive / KPI / Dashboard</t>
        </is>
      </c>
      <c r="B22" s="48" t="inlineStr"/>
      <c r="C22" s="48" t="inlineStr">
        <is>
          <t>Delivery Head / PMO / Finance</t>
        </is>
      </c>
      <c r="D22" s="48" t="inlineStr">
        <is>
          <t>High</t>
        </is>
      </c>
      <c r="E22" s="48" t="inlineStr">
        <is>
          <t>Tasks</t>
        </is>
      </c>
      <c r="F22" s="48" t="inlineStr">
        <is>
          <t>KPI / Comparative</t>
        </is>
      </c>
      <c r="G22" s="51" t="inlineStr">
        <is>
          <t>Complex</t>
        </is>
      </c>
      <c r="H22" s="48" t="inlineStr">
        <is>
          <t>portfolio_task_estimate_variance</t>
        </is>
      </c>
      <c r="I22" s="48" t="inlineStr">
        <is>
          <t>Which projects and tasks have the largest estimate-to-actual effort variance?</t>
        </is>
      </c>
      <c r="J22" s="48" t="inlineStr">
        <is>
          <t>Rank task overruns across the portfolio.</t>
        </is>
      </c>
      <c r="K22" s="48" t="inlineStr">
        <is>
          <t>Where are estimates least accurate?</t>
        </is>
      </c>
      <c r="L22" s="48" t="inlineStr">
        <is>
          <t>period; top_n; actual_effort_source</t>
        </is>
      </c>
      <c r="M22" s="48" t="inlineStr">
        <is>
          <t>Improve estimation quality and identify overruns.</t>
        </is>
      </c>
      <c r="N22" s="48" t="inlineStr">
        <is>
          <t>Compare task estimate with live timesheet hours; aggregate variance and variance percentage by task, project, PM, type, and client.</t>
        </is>
      </c>
      <c r="O22" s="48" t="inlineStr">
        <is>
          <t>tbl_project_tasks; tbl_timesheets; tbl_projects; tbl_users; tbl_clients</t>
        </is>
      </c>
      <c r="P22" s="48" t="inlineStr">
        <is>
          <t>Available – KPI Rule Required</t>
        </is>
      </c>
      <c r="Q22" s="48" t="inlineStr">
        <is>
          <t>Predefined multi-table KPI / trend aggregation</t>
        </is>
      </c>
      <c r="R22" s="52" t="inlineStr">
        <is>
          <t>High</t>
        </is>
      </c>
      <c r="S22" s="48" t="inlineStr">
        <is>
          <t>Orbit KPI/Watchlist Tool with fixed formulas; cache intent/query plan, execute against live data; use Mesh only to explain computed results.</t>
        </is>
      </c>
      <c r="T22" s="48" t="inlineStr">
        <is>
          <t>Pending – Complex KPI SQL Design</t>
        </is>
      </c>
      <c r="U22" s="48" t="n"/>
      <c r="V22" s="48" t="inlineStr"/>
    </row>
    <row r="23" ht="80" customHeight="1" s="38">
      <c r="A23" s="48" t="inlineStr">
        <is>
          <t>New – Executive / KPI / Dashboard</t>
        </is>
      </c>
      <c r="B23" s="48" t="inlineStr"/>
      <c r="C23" s="48" t="inlineStr">
        <is>
          <t>Delivery Head / PMO / PM</t>
        </is>
      </c>
      <c r="D23" s="48" t="inlineStr">
        <is>
          <t>High</t>
        </is>
      </c>
      <c r="E23" s="48" t="inlineStr">
        <is>
          <t>Tasks</t>
        </is>
      </c>
      <c r="F23" s="48" t="inlineStr">
        <is>
          <t>Exception / KPI</t>
        </is>
      </c>
      <c r="G23" s="51" t="inlineStr">
        <is>
          <t>Complex</t>
        </is>
      </c>
      <c r="H23" s="48" t="inlineStr">
        <is>
          <t>task_completion_timesheet_mismatch</t>
        </is>
      </c>
      <c r="I23" s="48" t="inlineStr">
        <is>
          <t>Which tasks show high completion percentages but little or no recent time logged, or heavy time logged with low completion?</t>
        </is>
      </c>
      <c r="J23" s="48" t="inlineStr">
        <is>
          <t>Find task progress and effort inconsistencies.</t>
        </is>
      </c>
      <c r="K23" s="48" t="inlineStr">
        <is>
          <t>Where does reported completion conflict with timesheet evidence?</t>
        </is>
      </c>
      <c r="L23" s="48" t="inlineStr">
        <is>
          <t>period; completion_thresholds; hours_thresholds</t>
        </is>
      </c>
      <c r="M23" s="48" t="inlineStr">
        <is>
          <t>Detect inaccurate progress reporting and hidden blockers.</t>
        </is>
      </c>
      <c r="N23" s="48" t="inlineStr">
        <is>
          <t>Compare task.percent_complete with timesheet hours during the selected period and task estimate; flag both mismatch directions.</t>
        </is>
      </c>
      <c r="O23" s="48" t="inlineStr">
        <is>
          <t>tbl_project_tasks; tbl_timesheets; tbl_projects</t>
        </is>
      </c>
      <c r="P23" s="48" t="inlineStr">
        <is>
          <t>Available – KPI Rule Required</t>
        </is>
      </c>
      <c r="Q23" s="48" t="inlineStr">
        <is>
          <t>Predefined multi-table KPI / trend aggregation</t>
        </is>
      </c>
      <c r="R23" s="52" t="inlineStr">
        <is>
          <t>High</t>
        </is>
      </c>
      <c r="S23" s="48" t="inlineStr">
        <is>
          <t>Orbit KPI/Watchlist Tool with fixed formulas; cache intent/query plan, execute against live data; use Mesh only to explain computed results.</t>
        </is>
      </c>
      <c r="T23" s="48" t="inlineStr">
        <is>
          <t>Pending – Complex KPI SQL Design</t>
        </is>
      </c>
      <c r="U23" s="48" t="n"/>
      <c r="V23" s="48" t="inlineStr"/>
    </row>
    <row r="24" ht="80" customHeight="1" s="38">
      <c r="A24" s="48" t="inlineStr">
        <is>
          <t>New – Executive / KPI / Dashboard</t>
        </is>
      </c>
      <c r="B24" s="48" t="inlineStr"/>
      <c r="C24" s="48" t="inlineStr">
        <is>
          <t>CEO / Delivery Head / PMO</t>
        </is>
      </c>
      <c r="D24" s="48" t="inlineStr">
        <is>
          <t>High</t>
        </is>
      </c>
      <c r="E24" s="48" t="inlineStr">
        <is>
          <t>Delivery Health</t>
        </is>
      </c>
      <c r="F24" s="48" t="inlineStr">
        <is>
          <t>Executive Composite KPI</t>
        </is>
      </c>
      <c r="G24" s="52" t="inlineStr">
        <is>
          <t>Very Complex</t>
        </is>
      </c>
      <c r="H24" s="48" t="inlineStr">
        <is>
          <t>project_task_rag_mismatch</t>
        </is>
      </c>
      <c r="I24" s="48" t="inlineStr">
        <is>
          <t>Which projects have a Green project RAG but a significant Red-task backlog?</t>
        </is>
      </c>
      <c r="J24" s="48" t="inlineStr">
        <is>
          <t>Find mismatches between project health and task-level health.</t>
        </is>
      </c>
      <c r="K24" s="48" t="inlineStr">
        <is>
          <t>Where may project RAG be understating delivery risk?</t>
        </is>
      </c>
      <c r="L24" s="48" t="inlineStr">
        <is>
          <t>red_task_ratio_threshold; as_of_date</t>
        </is>
      </c>
      <c r="M24" s="48" t="inlineStr">
        <is>
          <t>Detect optimistic project-level reporting.</t>
        </is>
      </c>
      <c r="N24" s="48" t="inlineStr">
        <is>
          <t>Compare project.rag with count/ratio of open task.rag values and overdue High-priority tasks.</t>
        </is>
      </c>
      <c r="O24" s="48" t="inlineStr">
        <is>
          <t>tbl_projects; tbl_project_tasks; tbl_project_task_status</t>
        </is>
      </c>
      <c r="P24" s="48" t="inlineStr">
        <is>
          <t>Available – KPI Rule Required</t>
        </is>
      </c>
      <c r="Q24" s="48" t="inlineStr">
        <is>
          <t>Composite multi-table ranking</t>
        </is>
      </c>
      <c r="R24" s="52" t="inlineStr">
        <is>
          <t>High</t>
        </is>
      </c>
      <c r="S24" s="48" t="inlineStr">
        <is>
          <t>Orbit KPI/Watchlist Tool with fixed formulas; cache intent/query plan, execute against live data; use Mesh only to explain computed results.</t>
        </is>
      </c>
      <c r="T24" s="48" t="inlineStr">
        <is>
          <t>Pending – Complex KPI SQL Design</t>
        </is>
      </c>
      <c r="U24" s="48" t="n"/>
      <c r="V24" s="48" t="inlineStr"/>
    </row>
    <row r="25" ht="80" customHeight="1" s="38">
      <c r="A25" s="48" t="inlineStr">
        <is>
          <t>New – Executive / KPI / Dashboard</t>
        </is>
      </c>
      <c r="B25" s="48" t="inlineStr"/>
      <c r="C25" s="48" t="inlineStr">
        <is>
          <t>Delivery Head / Resource Manager / PMO</t>
        </is>
      </c>
      <c r="D25" s="48" t="inlineStr">
        <is>
          <t>High</t>
        </is>
      </c>
      <c r="E25" s="48" t="inlineStr">
        <is>
          <t>Tasks</t>
        </is>
      </c>
      <c r="F25" s="48" t="inlineStr">
        <is>
          <t>Dashboard KPI</t>
        </is>
      </c>
      <c r="G25" s="51" t="inlineStr">
        <is>
          <t>Complex</t>
        </is>
      </c>
      <c r="H25" s="48" t="inlineStr">
        <is>
          <t>unassigned_task_ratio</t>
        </is>
      </c>
      <c r="I25" s="48" t="inlineStr">
        <is>
          <t>Which projects have the highest percentage of open tasks without active assignees?</t>
        </is>
      </c>
      <c r="J25" s="48" t="inlineStr">
        <is>
          <t>Rank projects by unassigned work.</t>
        </is>
      </c>
      <c r="K25" s="48" t="inlineStr">
        <is>
          <t>Where is delivery work not owned?</t>
        </is>
      </c>
      <c r="L25" s="48" t="inlineStr">
        <is>
          <t>as_of_date; minimum_open_tasks</t>
        </is>
      </c>
      <c r="M25" s="48" t="inlineStr">
        <is>
          <t>Identify execution ownership gaps.</t>
        </is>
      </c>
      <c r="N25" s="48" t="inlineStr">
        <is>
          <t>Open tasks without an active row in tbl_project_task_users ÷ total open tasks, grouped by project and PM.</t>
        </is>
      </c>
      <c r="O25" s="48" t="inlineStr">
        <is>
          <t>tbl_projects; tbl_project_tasks; tbl_project_task_status; tbl_project_task_users; tbl_users</t>
        </is>
      </c>
      <c r="P25" s="48" t="inlineStr">
        <is>
          <t>Available – KPI Rule Required</t>
        </is>
      </c>
      <c r="Q25" s="48" t="inlineStr">
        <is>
          <t>Predefined multi-table KPI / trend aggregation</t>
        </is>
      </c>
      <c r="R25" s="52" t="inlineStr">
        <is>
          <t>High</t>
        </is>
      </c>
      <c r="S25" s="48" t="inlineStr">
        <is>
          <t>Orbit KPI/Watchlist Tool with fixed formulas; cache intent/query plan, execute against live data; use Mesh only to explain computed results.</t>
        </is>
      </c>
      <c r="T25" s="48" t="inlineStr">
        <is>
          <t>Pending – Complex KPI SQL Design</t>
        </is>
      </c>
      <c r="U25" s="48" t="n"/>
      <c r="V25" s="48" t="inlineStr"/>
    </row>
    <row r="26" ht="80" customHeight="1" s="38">
      <c r="A26" s="48" t="inlineStr">
        <is>
          <t>New – Executive / KPI / Dashboard</t>
        </is>
      </c>
      <c r="B26" s="48" t="inlineStr"/>
      <c r="C26" s="48" t="inlineStr">
        <is>
          <t>Delivery Head / Quality / PMO</t>
        </is>
      </c>
      <c r="D26" s="48" t="inlineStr">
        <is>
          <t>High</t>
        </is>
      </c>
      <c r="E26" s="48" t="inlineStr">
        <is>
          <t>Governance</t>
        </is>
      </c>
      <c r="F26" s="48" t="inlineStr">
        <is>
          <t>Dashboard KPI</t>
        </is>
      </c>
      <c r="G26" s="51" t="inlineStr">
        <is>
          <t>Complex</t>
        </is>
      </c>
      <c r="H26" s="48" t="inlineStr">
        <is>
          <t>acceptance_criteria_completeness</t>
        </is>
      </c>
      <c r="I26" s="48" t="inlineStr">
        <is>
          <t>Which active projects have the lowest acceptance-criteria coverage on open tasks?</t>
        </is>
      </c>
      <c r="J26" s="48" t="inlineStr">
        <is>
          <t>Show projects with incomplete task acceptance criteria.</t>
        </is>
      </c>
      <c r="K26" s="48" t="inlineStr">
        <is>
          <t>Where is scope validation weak?</t>
        </is>
      </c>
      <c r="L26" s="48" t="inlineStr">
        <is>
          <t>as_of_date; minimum_task_count</t>
        </is>
      </c>
      <c r="M26" s="48" t="inlineStr">
        <is>
          <t>Improve delivery quality and reduce ambiguity.</t>
        </is>
      </c>
      <c r="N26" s="48" t="inlineStr">
        <is>
          <t>Percentage of active/open tasks with non-empty acceptance_criteria; rank low-coverage projects and include deal value/RAG.</t>
        </is>
      </c>
      <c r="O26" s="48" t="inlineStr">
        <is>
          <t>tbl_projects; tbl_project_tasks; tbl_project_task_status</t>
        </is>
      </c>
      <c r="P26" s="48" t="inlineStr">
        <is>
          <t>Available – KPI Rule Required</t>
        </is>
      </c>
      <c r="Q26" s="48" t="inlineStr">
        <is>
          <t>Predefined multi-table KPI / trend aggregation</t>
        </is>
      </c>
      <c r="R26" s="52" t="inlineStr">
        <is>
          <t>High</t>
        </is>
      </c>
      <c r="S26" s="48" t="inlineStr">
        <is>
          <t>Orbit KPI/Watchlist Tool with fixed formulas; cache intent/query plan, execute against live data; use Mesh only to explain computed results.</t>
        </is>
      </c>
      <c r="T26" s="48" t="inlineStr">
        <is>
          <t>Pending – Complex KPI SQL Design</t>
        </is>
      </c>
      <c r="U26" s="48" t="n"/>
      <c r="V26" s="48" t="inlineStr"/>
    </row>
    <row r="27" ht="80" customHeight="1" s="38">
      <c r="A27" s="48" t="inlineStr">
        <is>
          <t>New – Executive / KPI / Dashboard</t>
        </is>
      </c>
      <c r="B27" s="48" t="inlineStr"/>
      <c r="C27" s="48" t="inlineStr">
        <is>
          <t>CEO / Delivery Head / Quality</t>
        </is>
      </c>
      <c r="D27" s="48" t="inlineStr">
        <is>
          <t>High</t>
        </is>
      </c>
      <c r="E27" s="48" t="inlineStr">
        <is>
          <t>Issues</t>
        </is>
      </c>
      <c r="F27" s="48" t="inlineStr">
        <is>
          <t>Trend / Dashboard KPI</t>
        </is>
      </c>
      <c r="G27" s="51" t="inlineStr">
        <is>
          <t>Complex</t>
        </is>
      </c>
      <c r="H27" s="48" t="inlineStr">
        <is>
          <t>issue_backlog_trend</t>
        </is>
      </c>
      <c r="I27" s="48" t="inlineStr">
        <is>
          <t>Is the issue backlog increasing or decreasing by project over the last :months months?</t>
        </is>
      </c>
      <c r="J27" s="48" t="inlineStr">
        <is>
          <t>Show issue creation versus closure trend.</t>
        </is>
      </c>
      <c r="K27" s="48" t="inlineStr">
        <is>
          <t>Which projects are accumulating issues faster than they close them?</t>
        </is>
      </c>
      <c r="L27" s="48" t="inlineStr">
        <is>
          <t>months; time_bucket</t>
        </is>
      </c>
      <c r="M27" s="48" t="inlineStr">
        <is>
          <t>Detect deteriorating quality before it affects delivery.</t>
        </is>
      </c>
      <c r="N27" s="48" t="inlineStr">
        <is>
          <t>For each period, count issues raised and closed using date_raised/date_closed; calculate net backlog change and rolling closure ratio.</t>
        </is>
      </c>
      <c r="O27" s="48" t="inlineStr">
        <is>
          <t>tbl_projects; tbl_project_issues; tbl_project_issue_status</t>
        </is>
      </c>
      <c r="P27" s="48" t="inlineStr">
        <is>
          <t>Available – KPI Rule Required</t>
        </is>
      </c>
      <c r="Q27" s="48" t="inlineStr">
        <is>
          <t>Predefined multi-table KPI / trend aggregation</t>
        </is>
      </c>
      <c r="R27" s="52" t="inlineStr">
        <is>
          <t>High</t>
        </is>
      </c>
      <c r="S27" s="48" t="inlineStr">
        <is>
          <t>Orbit KPI/Watchlist Tool with fixed formulas; cache intent/query plan, execute against live data; use Mesh only to explain computed results.</t>
        </is>
      </c>
      <c r="T27" s="48" t="inlineStr">
        <is>
          <t>Pending – Complex KPI SQL Design</t>
        </is>
      </c>
      <c r="U27" s="48" t="n"/>
      <c r="V27" s="48" t="inlineStr"/>
    </row>
    <row r="28" ht="80" customHeight="1" s="38">
      <c r="A28" s="48" t="inlineStr">
        <is>
          <t>New – Executive / KPI / Dashboard</t>
        </is>
      </c>
      <c r="B28" s="48" t="inlineStr"/>
      <c r="C28" s="48" t="inlineStr">
        <is>
          <t>Delivery Head / Quality / PMO</t>
        </is>
      </c>
      <c r="D28" s="48" t="inlineStr">
        <is>
          <t>High</t>
        </is>
      </c>
      <c r="E28" s="48" t="inlineStr">
        <is>
          <t>Issues</t>
        </is>
      </c>
      <c r="F28" s="48" t="inlineStr">
        <is>
          <t>KPI / Comparative</t>
        </is>
      </c>
      <c r="G28" s="51" t="inlineStr">
        <is>
          <t>Complex</t>
        </is>
      </c>
      <c r="H28" s="48" t="inlineStr">
        <is>
          <t>issue_aging_closure_performance</t>
        </is>
      </c>
      <c r="I28" s="48" t="inlineStr">
        <is>
          <t>Which projects have the oldest unresolved issues and the slowest closure performance?</t>
        </is>
      </c>
      <c r="J28" s="48" t="inlineStr">
        <is>
          <t>Rank projects by issue aging and time to close.</t>
        </is>
      </c>
      <c r="K28" s="48" t="inlineStr">
        <is>
          <t>Where is issue resolution performance weakest?</t>
        </is>
      </c>
      <c r="L28" s="48" t="inlineStr">
        <is>
          <t>as_of_date; period; minimum_issue_count</t>
        </is>
      </c>
      <c r="M28" s="48" t="inlineStr">
        <is>
          <t>Prioritise issue-resolution process improvements.</t>
        </is>
      </c>
      <c r="N28" s="48" t="inlineStr">
        <is>
          <t>Open age = as_of_date - date_raised. Closed cycle time = date_closed - date_raised. Summarise median/average, overdue ratio, and closure rate.</t>
        </is>
      </c>
      <c r="O28" s="48" t="inlineStr">
        <is>
          <t>tbl_projects; tbl_project_issues; tbl_project_issue_status</t>
        </is>
      </c>
      <c r="P28" s="48" t="inlineStr">
        <is>
          <t>Available – KPI Rule Required</t>
        </is>
      </c>
      <c r="Q28" s="48" t="inlineStr">
        <is>
          <t>Predefined multi-table KPI / trend aggregation</t>
        </is>
      </c>
      <c r="R28" s="52" t="inlineStr">
        <is>
          <t>High</t>
        </is>
      </c>
      <c r="S28" s="48" t="inlineStr">
        <is>
          <t>Orbit KPI/Watchlist Tool with fixed formulas; cache intent/query plan, execute against live data; use Mesh only to explain computed results.</t>
        </is>
      </c>
      <c r="T28" s="48" t="inlineStr">
        <is>
          <t>Pending – Complex KPI SQL Design</t>
        </is>
      </c>
      <c r="U28" s="48" t="n"/>
      <c r="V28" s="48" t="inlineStr"/>
    </row>
    <row r="29" ht="80" customHeight="1" s="38">
      <c r="A29" s="48" t="inlineStr">
        <is>
          <t>New – Executive / KPI / Dashboard</t>
        </is>
      </c>
      <c r="B29" s="48" t="inlineStr"/>
      <c r="C29" s="48" t="inlineStr">
        <is>
          <t>CEO / Quality Head / Delivery Head</t>
        </is>
      </c>
      <c r="D29" s="48" t="inlineStr">
        <is>
          <t>High</t>
        </is>
      </c>
      <c r="E29" s="48" t="inlineStr">
        <is>
          <t>Issues</t>
        </is>
      </c>
      <c r="F29" s="48" t="inlineStr">
        <is>
          <t>Executive KPI / Dashboard</t>
        </is>
      </c>
      <c r="G29" s="51" t="inlineStr">
        <is>
          <t>Complex</t>
        </is>
      </c>
      <c r="H29" s="48" t="inlineStr">
        <is>
          <t>defect_leakage_rate</t>
        </is>
      </c>
      <c r="I29" s="48" t="inlineStr">
        <is>
          <t>Which projects have the highest defect leakage from earlier origination phases into later detection phases?</t>
        </is>
      </c>
      <c r="J29" s="48" t="inlineStr">
        <is>
          <t>Show defect leakage by project and phase.</t>
        </is>
      </c>
      <c r="K29" s="48" t="inlineStr">
        <is>
          <t>Where are defects being found later than they should be?</t>
        </is>
      </c>
      <c r="L29" s="48" t="inlineStr">
        <is>
          <t>period; phase_order_rule; minimum_issue_count</t>
        </is>
      </c>
      <c r="M29" s="48" t="inlineStr">
        <is>
          <t>Measure quality effectiveness and prevent expensive late defects.</t>
        </is>
      </c>
      <c r="N29" s="48" t="inlineStr">
        <is>
          <t>Use defect_origination_phase and defect_detection_phase to calculate leakage where detection phase is later; segment by severity and project.</t>
        </is>
      </c>
      <c r="O29" s="48" t="inlineStr">
        <is>
          <t>tbl_projects; tbl_project_issues</t>
        </is>
      </c>
      <c r="P29" s="48" t="inlineStr">
        <is>
          <t>Available – KPI Rule Required</t>
        </is>
      </c>
      <c r="Q29" s="48" t="inlineStr">
        <is>
          <t>Predefined multi-table KPI / trend aggregation</t>
        </is>
      </c>
      <c r="R29" s="52" t="inlineStr">
        <is>
          <t>High</t>
        </is>
      </c>
      <c r="S29" s="48" t="inlineStr">
        <is>
          <t>Orbit KPI/Watchlist Tool with fixed formulas; cache intent/query plan, execute against live data; use Mesh only to explain computed results.</t>
        </is>
      </c>
      <c r="T29" s="48" t="inlineStr">
        <is>
          <t>Pending – Complex KPI SQL Design</t>
        </is>
      </c>
      <c r="U29" s="48" t="n"/>
      <c r="V29" s="48" t="inlineStr"/>
    </row>
    <row r="30" ht="80" customHeight="1" s="38">
      <c r="A30" s="48" t="inlineStr">
        <is>
          <t>New – Executive / KPI / Dashboard</t>
        </is>
      </c>
      <c r="B30" s="48" t="inlineStr"/>
      <c r="C30" s="48" t="inlineStr">
        <is>
          <t>CEO / Delivery Head / Finance</t>
        </is>
      </c>
      <c r="D30" s="48" t="inlineStr">
        <is>
          <t>High</t>
        </is>
      </c>
      <c r="E30" s="48" t="inlineStr">
        <is>
          <t>Issues</t>
        </is>
      </c>
      <c r="F30" s="48" t="inlineStr">
        <is>
          <t>Executive Composite KPI</t>
        </is>
      </c>
      <c r="G30" s="52" t="inlineStr">
        <is>
          <t>Very Complex</t>
        </is>
      </c>
      <c r="H30" s="48" t="inlineStr">
        <is>
          <t>overdue_issue_value_exposure</t>
        </is>
      </c>
      <c r="I30" s="48" t="inlineStr">
        <is>
          <t>Which overdue issues create the greatest commercial exposure?</t>
        </is>
      </c>
      <c r="J30" s="48" t="inlineStr">
        <is>
          <t>Rank projects by overdue issue severity and deal value.</t>
        </is>
      </c>
      <c r="K30" s="48" t="inlineStr">
        <is>
          <t>How much deal value is affected by overdue unresolved issues?</t>
        </is>
      </c>
      <c r="L30" s="48" t="inlineStr">
        <is>
          <t>as_of_date; severity_weights; top_n</t>
        </is>
      </c>
      <c r="M30" s="48" t="inlineStr">
        <is>
          <t>Prioritise issue resolution by material business impact.</t>
        </is>
      </c>
      <c r="N30" s="48" t="inlineStr">
        <is>
          <t>Combine overdue_status/planned_closure_date, severity, priority, issue age, project deal_value, and project RAG.</t>
        </is>
      </c>
      <c r="O30" s="48" t="inlineStr">
        <is>
          <t>tbl_projects; tbl_project_issues; tbl_project_issue_status</t>
        </is>
      </c>
      <c r="P30" s="48" t="inlineStr">
        <is>
          <t>Available – KPI Rule Required</t>
        </is>
      </c>
      <c r="Q30" s="48" t="inlineStr">
        <is>
          <t>Composite multi-table ranking</t>
        </is>
      </c>
      <c r="R30" s="52" t="inlineStr">
        <is>
          <t>High</t>
        </is>
      </c>
      <c r="S30" s="48" t="inlineStr">
        <is>
          <t>Orbit KPI/Watchlist Tool with fixed formulas; cache intent/query plan, execute against live data; use Mesh only to explain computed results.</t>
        </is>
      </c>
      <c r="T30" s="48" t="inlineStr">
        <is>
          <t>Pending – Complex KPI SQL Design</t>
        </is>
      </c>
      <c r="U30" s="48" t="n"/>
      <c r="V30" s="48" t="inlineStr"/>
    </row>
    <row r="31" ht="80" customHeight="1" s="38">
      <c r="A31" s="48" t="inlineStr">
        <is>
          <t>New – Executive / KPI / Dashboard</t>
        </is>
      </c>
      <c r="B31" s="48" t="inlineStr"/>
      <c r="C31" s="48" t="inlineStr">
        <is>
          <t>Quality Head / Delivery Head / Audit</t>
        </is>
      </c>
      <c r="D31" s="48" t="inlineStr">
        <is>
          <t>High</t>
        </is>
      </c>
      <c r="E31" s="48" t="inlineStr">
        <is>
          <t>Issues</t>
        </is>
      </c>
      <c r="F31" s="48" t="inlineStr">
        <is>
          <t>Exception / KPI</t>
        </is>
      </c>
      <c r="G31" s="51" t="inlineStr">
        <is>
          <t>Complex</t>
        </is>
      </c>
      <c r="H31" s="48" t="inlineStr">
        <is>
          <t>issues_missing_rca_actions</t>
        </is>
      </c>
      <c r="I31" s="48" t="inlineStr">
        <is>
          <t>Which overdue or closed high-severity issues are missing RCA, correction, or corrective-action details?</t>
        </is>
      </c>
      <c r="J31" s="48" t="inlineStr">
        <is>
          <t>Show issue governance records that are incomplete.</t>
        </is>
      </c>
      <c r="K31" s="48" t="inlineStr">
        <is>
          <t>Which major defects lack documented root-cause and prevention actions?</t>
        </is>
      </c>
      <c r="L31" s="48" t="inlineStr">
        <is>
          <t>severity_threshold; as_of_date</t>
        </is>
      </c>
      <c r="M31" s="48" t="inlineStr">
        <is>
          <t>Strengthen corrective-action governance and prevent recurrence.</t>
        </is>
      </c>
      <c r="N31" s="48" t="inlineStr">
        <is>
          <t>Filter qualifying issues where rca is unset or correction/corrective_action text is empty; group by project, PM, and client.</t>
        </is>
      </c>
      <c r="O31" s="48" t="inlineStr">
        <is>
          <t>tbl_projects; tbl_project_issues</t>
        </is>
      </c>
      <c r="P31" s="48" t="inlineStr">
        <is>
          <t>Available – KPI Rule Required</t>
        </is>
      </c>
      <c r="Q31" s="48" t="inlineStr">
        <is>
          <t>Predefined multi-table KPI / trend aggregation</t>
        </is>
      </c>
      <c r="R31" s="52" t="inlineStr">
        <is>
          <t>High</t>
        </is>
      </c>
      <c r="S31" s="48" t="inlineStr">
        <is>
          <t>Orbit KPI/Watchlist Tool with fixed formulas; cache intent/query plan, execute against live data; use Mesh only to explain computed results.</t>
        </is>
      </c>
      <c r="T31" s="48" t="inlineStr">
        <is>
          <t>Pending – Complex KPI SQL Design</t>
        </is>
      </c>
      <c r="U31" s="48" t="n"/>
      <c r="V31" s="48" t="inlineStr"/>
    </row>
    <row r="32" ht="80" customHeight="1" s="38">
      <c r="A32" s="48" t="inlineStr">
        <is>
          <t>New – Executive / KPI / Dashboard</t>
        </is>
      </c>
      <c r="B32" s="48" t="inlineStr"/>
      <c r="C32" s="48" t="inlineStr">
        <is>
          <t>CEO / Risk Committee / Delivery Head</t>
        </is>
      </c>
      <c r="D32" s="48" t="inlineStr">
        <is>
          <t>High</t>
        </is>
      </c>
      <c r="E32" s="48" t="inlineStr">
        <is>
          <t>Risks</t>
        </is>
      </c>
      <c r="F32" s="48" t="inlineStr">
        <is>
          <t>Executive Composite KPI</t>
        </is>
      </c>
      <c r="G32" s="52" t="inlineStr">
        <is>
          <t>Very Complex</t>
        </is>
      </c>
      <c r="H32" s="48" t="inlineStr">
        <is>
          <t>current_risk_exposure_ranking</t>
        </is>
      </c>
      <c r="I32" s="48" t="inlineStr">
        <is>
          <t>Which projects have the highest current risk exposure?</t>
        </is>
      </c>
      <c r="J32" s="48" t="inlineStr">
        <is>
          <t>Rank projects by probability-impact exposure.</t>
        </is>
      </c>
      <c r="K32" s="48" t="inlineStr">
        <is>
          <t>Where is portfolio risk concentrated today?</t>
        </is>
      </c>
      <c r="L32" s="48" t="inlineStr">
        <is>
          <t>as_of_date; exposure_formula; top_n</t>
        </is>
      </c>
      <c r="M32" s="48" t="inlineStr">
        <is>
          <t>Prioritise portfolio risk treatment.</t>
        </is>
      </c>
      <c r="N32" s="48" t="inlineStr">
        <is>
          <t>Calculate exposure from active risks using probability_value × impact_value or configured rating; aggregate by project and weight by deal value/RAG.</t>
        </is>
      </c>
      <c r="O32" s="48" t="inlineStr">
        <is>
          <t>tbl_projects; tbl_risk; tbl_risk_status; tbl_risk_probability; tbl_risk_impact; tbl_risk_priority</t>
        </is>
      </c>
      <c r="P32" s="48" t="inlineStr">
        <is>
          <t>Available – KPI Rule Required</t>
        </is>
      </c>
      <c r="Q32" s="48" t="inlineStr">
        <is>
          <t>Composite multi-table ranking</t>
        </is>
      </c>
      <c r="R32" s="52" t="inlineStr">
        <is>
          <t>High</t>
        </is>
      </c>
      <c r="S32" s="48" t="inlineStr">
        <is>
          <t>Orbit KPI/Watchlist Tool with fixed formulas; cache intent/query plan, execute against live data; use Mesh only to explain computed results.</t>
        </is>
      </c>
      <c r="T32" s="48" t="inlineStr">
        <is>
          <t>Pending – Complex KPI SQL Design</t>
        </is>
      </c>
      <c r="U32" s="48" t="n"/>
      <c r="V32" s="48" t="inlineStr"/>
    </row>
    <row r="33" ht="80" customHeight="1" s="38">
      <c r="A33" s="48" t="inlineStr">
        <is>
          <t>New – Executive / KPI / Dashboard</t>
        </is>
      </c>
      <c r="B33" s="48" t="inlineStr"/>
      <c r="C33" s="48" t="inlineStr">
        <is>
          <t>CEO / Risk Committee / Delivery Head</t>
        </is>
      </c>
      <c r="D33" s="48" t="inlineStr">
        <is>
          <t>High</t>
        </is>
      </c>
      <c r="E33" s="48" t="inlineStr">
        <is>
          <t>Risks</t>
        </is>
      </c>
      <c r="F33" s="48" t="inlineStr">
        <is>
          <t>KPI / Comparative</t>
        </is>
      </c>
      <c r="G33" s="51" t="inlineStr">
        <is>
          <t>Complex</t>
        </is>
      </c>
      <c r="H33" s="48" t="inlineStr">
        <is>
          <t>residual_risk_after_mitigation</t>
        </is>
      </c>
      <c r="I33" s="48" t="inlineStr">
        <is>
          <t>Which risks remain high after mitigation, and which risks have not improved?</t>
        </is>
      </c>
      <c r="J33" s="48" t="inlineStr">
        <is>
          <t>Compare original and residual risk scores.</t>
        </is>
      </c>
      <c r="K33" s="48" t="inlineStr">
        <is>
          <t>Where has mitigation failed to reduce exposure?</t>
        </is>
      </c>
      <c r="L33" s="48" t="inlineStr">
        <is>
          <t>as_of_date; residual_threshold</t>
        </is>
      </c>
      <c r="M33" s="48" t="inlineStr">
        <is>
          <t>Evaluate mitigation effectiveness and escalate ineffective controls.</t>
        </is>
      </c>
      <c r="N33" s="48" t="inlineStr">
        <is>
          <t>Compare rating or initial probability/impact with revised_probability, revised_impact, and after_mitigation_risk_score; rank no-improvement and worsened risks.</t>
        </is>
      </c>
      <c r="O33" s="48" t="inlineStr">
        <is>
          <t>tbl_risk; tbl_risk_probability; tbl_risk_impact; tbl_projects</t>
        </is>
      </c>
      <c r="P33" s="48" t="inlineStr">
        <is>
          <t>Available – KPI Rule Required</t>
        </is>
      </c>
      <c r="Q33" s="48" t="inlineStr">
        <is>
          <t>Predefined multi-table KPI / trend aggregation</t>
        </is>
      </c>
      <c r="R33" s="52" t="inlineStr">
        <is>
          <t>High</t>
        </is>
      </c>
      <c r="S33" s="48" t="inlineStr">
        <is>
          <t>Orbit KPI/Watchlist Tool with fixed formulas; cache intent/query plan, execute against live data; use Mesh only to explain computed results.</t>
        </is>
      </c>
      <c r="T33" s="48" t="inlineStr">
        <is>
          <t>Pending – Complex KPI SQL Design</t>
        </is>
      </c>
      <c r="U33" s="48" t="n"/>
      <c r="V33" s="48" t="inlineStr"/>
    </row>
    <row r="34" ht="80" customHeight="1" s="38">
      <c r="A34" s="48" t="inlineStr">
        <is>
          <t>New – Executive / KPI / Dashboard</t>
        </is>
      </c>
      <c r="B34" s="48" t="inlineStr"/>
      <c r="C34" s="48" t="inlineStr">
        <is>
          <t>CEO / Risk Committee / Finance</t>
        </is>
      </c>
      <c r="D34" s="48" t="inlineStr">
        <is>
          <t>High</t>
        </is>
      </c>
      <c r="E34" s="48" t="inlineStr">
        <is>
          <t>Risks</t>
        </is>
      </c>
      <c r="F34" s="48" t="inlineStr">
        <is>
          <t>Executive Composite KPI</t>
        </is>
      </c>
      <c r="G34" s="52" t="inlineStr">
        <is>
          <t>Very Complex</t>
        </is>
      </c>
      <c r="H34" s="48" t="inlineStr">
        <is>
          <t>overdue_risk_value_exposure</t>
        </is>
      </c>
      <c r="I34" s="48" t="inlineStr">
        <is>
          <t>Which overdue open risks threaten the greatest project value?</t>
        </is>
      </c>
      <c r="J34" s="48" t="inlineStr">
        <is>
          <t>Rank overdue risks by exposure and deal value.</t>
        </is>
      </c>
      <c r="K34" s="48" t="inlineStr">
        <is>
          <t>How much commercial value is linked to overdue risk actions?</t>
        </is>
      </c>
      <c r="L34" s="48" t="inlineStr">
        <is>
          <t>as_of_date; top_n</t>
        </is>
      </c>
      <c r="M34" s="48" t="inlineStr">
        <is>
          <t>Escalate material overdue risk actions.</t>
        </is>
      </c>
      <c r="N34" s="48" t="inlineStr">
        <is>
          <t>Identify open risks past revised_target_closure_date/target_closure_date; combine exposure, overdue days, deal_value, and project RAG.</t>
        </is>
      </c>
      <c r="O34" s="48" t="inlineStr">
        <is>
          <t>tbl_projects; tbl_risk; tbl_risk_status; tbl_risk_probability; tbl_risk_impact</t>
        </is>
      </c>
      <c r="P34" s="48" t="inlineStr">
        <is>
          <t>Available – KPI Rule Required</t>
        </is>
      </c>
      <c r="Q34" s="48" t="inlineStr">
        <is>
          <t>Composite multi-table ranking</t>
        </is>
      </c>
      <c r="R34" s="52" t="inlineStr">
        <is>
          <t>High</t>
        </is>
      </c>
      <c r="S34" s="48" t="inlineStr">
        <is>
          <t>Orbit KPI/Watchlist Tool with fixed formulas; cache intent/query plan, execute against live data; use Mesh only to explain computed results.</t>
        </is>
      </c>
      <c r="T34" s="48" t="inlineStr">
        <is>
          <t>Pending – Complex KPI SQL Design</t>
        </is>
      </c>
      <c r="U34" s="48" t="n"/>
      <c r="V34" s="48" t="inlineStr"/>
    </row>
    <row r="35" ht="80" customHeight="1" s="38">
      <c r="A35" s="48" t="inlineStr">
        <is>
          <t>New – Executive / KPI / Dashboard</t>
        </is>
      </c>
      <c r="B35" s="48" t="inlineStr"/>
      <c r="C35" s="48" t="inlineStr">
        <is>
          <t>Risk Committee / Delivery Head</t>
        </is>
      </c>
      <c r="D35" s="48" t="inlineStr">
        <is>
          <t>High</t>
        </is>
      </c>
      <c r="E35" s="48" t="inlineStr">
        <is>
          <t>Risks</t>
        </is>
      </c>
      <c r="F35" s="48" t="inlineStr">
        <is>
          <t>Dashboard KPI</t>
        </is>
      </c>
      <c r="G35" s="51" t="inlineStr">
        <is>
          <t>Complex</t>
        </is>
      </c>
      <c r="H35" s="48" t="inlineStr">
        <is>
          <t>risk_owner_concentration</t>
        </is>
      </c>
      <c r="I35" s="48" t="inlineStr">
        <is>
          <t>Which risk owners carry the largest concentration of high-exposure or overdue risks?</t>
        </is>
      </c>
      <c r="J35" s="48" t="inlineStr">
        <is>
          <t>Rank risk owners by unresolved exposure.</t>
        </is>
      </c>
      <c r="K35" s="48" t="inlineStr">
        <is>
          <t>Who needs support or escalation for risk closure?</t>
        </is>
      </c>
      <c r="L35" s="48" t="inlineStr">
        <is>
          <t>as_of_date; top_n</t>
        </is>
      </c>
      <c r="M35" s="48" t="inlineStr">
        <is>
          <t>Balance ownership and improve accountability.</t>
        </is>
      </c>
      <c r="N35" s="48" t="inlineStr">
        <is>
          <t>Aggregate open risk count, exposure, overdue count, and average age by owner_id; include projects and deal value affected.</t>
        </is>
      </c>
      <c r="O35" s="48" t="inlineStr">
        <is>
          <t>tbl_risk; tbl_users; tbl_projects; tbl_risk_status; tbl_risk_probability; tbl_risk_impact</t>
        </is>
      </c>
      <c r="P35" s="48" t="inlineStr">
        <is>
          <t>Available – KPI Rule Required</t>
        </is>
      </c>
      <c r="Q35" s="48" t="inlineStr">
        <is>
          <t>Predefined multi-table KPI / trend aggregation</t>
        </is>
      </c>
      <c r="R35" s="52" t="inlineStr">
        <is>
          <t>High</t>
        </is>
      </c>
      <c r="S35" s="48" t="inlineStr">
        <is>
          <t>Orbit KPI/Watchlist Tool with fixed formulas; cache intent/query plan, execute against live data; use Mesh only to explain computed results.</t>
        </is>
      </c>
      <c r="T35" s="48" t="inlineStr">
        <is>
          <t>Pending – Complex KPI SQL Design</t>
        </is>
      </c>
      <c r="U35" s="48" t="n"/>
      <c r="V35" s="48" t="inlineStr"/>
    </row>
    <row r="36" ht="80" customHeight="1" s="38">
      <c r="A36" s="48" t="inlineStr">
        <is>
          <t>New – Executive / KPI / Dashboard</t>
        </is>
      </c>
      <c r="B36" s="48" t="inlineStr"/>
      <c r="C36" s="48" t="inlineStr">
        <is>
          <t>Risk Committee / Audit / Delivery Head</t>
        </is>
      </c>
      <c r="D36" s="48" t="inlineStr">
        <is>
          <t>High</t>
        </is>
      </c>
      <c r="E36" s="48" t="inlineStr">
        <is>
          <t>Risks</t>
        </is>
      </c>
      <c r="F36" s="48" t="inlineStr">
        <is>
          <t>Exception / KPI</t>
        </is>
      </c>
      <c r="G36" s="51" t="inlineStr">
        <is>
          <t>Complex</t>
        </is>
      </c>
      <c r="H36" s="48" t="inlineStr">
        <is>
          <t>high_risks_missing_mitigation</t>
        </is>
      </c>
      <c r="I36" s="48" t="inlineStr">
        <is>
          <t>Which high-exposure risks lack a mitigation plan, contingency plan, responsibility, or target closure date?</t>
        </is>
      </c>
      <c r="J36" s="48" t="inlineStr">
        <is>
          <t>Show incomplete risk treatment records.</t>
        </is>
      </c>
      <c r="K36" s="48" t="inlineStr">
        <is>
          <t>Which major risks are not actionable because key fields are missing?</t>
        </is>
      </c>
      <c r="L36" s="48" t="inlineStr">
        <is>
          <t>exposure_threshold; as_of_date</t>
        </is>
      </c>
      <c r="M36" s="48" t="inlineStr">
        <is>
          <t>Improve risk-treatment completeness and auditability.</t>
        </is>
      </c>
      <c r="N36" s="48" t="inlineStr">
        <is>
          <t>Filter active high-exposure risks where mitigation_action_plan, contingency_action_plan, responsibility, or closure dates are blank/null.</t>
        </is>
      </c>
      <c r="O36" s="48" t="inlineStr">
        <is>
          <t>tbl_risk; tbl_risk_probability; tbl_risk_impact; tbl_projects</t>
        </is>
      </c>
      <c r="P36" s="48" t="inlineStr">
        <is>
          <t>Available – KPI Rule Required</t>
        </is>
      </c>
      <c r="Q36" s="48" t="inlineStr">
        <is>
          <t>Predefined multi-table KPI / trend aggregation</t>
        </is>
      </c>
      <c r="R36" s="52" t="inlineStr">
        <is>
          <t>High</t>
        </is>
      </c>
      <c r="S36" s="48" t="inlineStr">
        <is>
          <t>Orbit KPI/Watchlist Tool with fixed formulas; cache intent/query plan, execute against live data; use Mesh only to explain computed results.</t>
        </is>
      </c>
      <c r="T36" s="48" t="inlineStr">
        <is>
          <t>Pending – Complex KPI SQL Design</t>
        </is>
      </c>
      <c r="U36" s="48" t="n"/>
      <c r="V36" s="48" t="inlineStr"/>
    </row>
    <row r="37" ht="80" customHeight="1" s="38">
      <c r="A37" s="48" t="inlineStr">
        <is>
          <t>New – Executive / KPI / Dashboard</t>
        </is>
      </c>
      <c r="B37" s="48" t="inlineStr"/>
      <c r="C37" s="48" t="inlineStr">
        <is>
          <t>CEO / Risk Committee / Delivery Head</t>
        </is>
      </c>
      <c r="D37" s="48" t="inlineStr">
        <is>
          <t>High</t>
        </is>
      </c>
      <c r="E37" s="48" t="inlineStr">
        <is>
          <t>Risks</t>
        </is>
      </c>
      <c r="F37" s="48" t="inlineStr">
        <is>
          <t>Trend / Dashboard KPI</t>
        </is>
      </c>
      <c r="G37" s="51" t="inlineStr">
        <is>
          <t>Complex</t>
        </is>
      </c>
      <c r="H37" s="48" t="inlineStr">
        <is>
          <t>risk_closure_trend_and_age</t>
        </is>
      </c>
      <c r="I37" s="48" t="inlineStr">
        <is>
          <t>Are risk closure rates and risk aging improving or deteriorating?</t>
        </is>
      </c>
      <c r="J37" s="48" t="inlineStr">
        <is>
          <t>Show monthly risk creation, closure, and aging trends.</t>
        </is>
      </c>
      <c r="K37" s="48" t="inlineStr">
        <is>
          <t>Which projects are accumulating long-lived risks?</t>
        </is>
      </c>
      <c r="L37" s="48" t="inlineStr">
        <is>
          <t>months; time_bucket</t>
        </is>
      </c>
      <c r="M37" s="48" t="inlineStr">
        <is>
          <t>Monitor risk-management effectiveness over time.</t>
        </is>
      </c>
      <c r="N37" s="48" t="inlineStr">
        <is>
          <t>Use date_raised/date_closed and status_type to calculate created, closed, net backlog, average open age, and closure cycle time by period/project.</t>
        </is>
      </c>
      <c r="O37" s="48" t="inlineStr">
        <is>
          <t>tbl_risk; tbl_risk_status; tbl_projects</t>
        </is>
      </c>
      <c r="P37" s="48" t="inlineStr">
        <is>
          <t>Available – KPI Rule Required</t>
        </is>
      </c>
      <c r="Q37" s="48" t="inlineStr">
        <is>
          <t>Predefined multi-table KPI / trend aggregation</t>
        </is>
      </c>
      <c r="R37" s="52" t="inlineStr">
        <is>
          <t>High</t>
        </is>
      </c>
      <c r="S37" s="48" t="inlineStr">
        <is>
          <t>Orbit KPI/Watchlist Tool with fixed formulas; cache intent/query plan, execute against live data; use Mesh only to explain computed results.</t>
        </is>
      </c>
      <c r="T37" s="48" t="inlineStr">
        <is>
          <t>Pending – Complex KPI SQL Design</t>
        </is>
      </c>
      <c r="U37" s="48" t="n"/>
      <c r="V37" s="48" t="inlineStr"/>
    </row>
    <row r="38" ht="80" customHeight="1" s="38">
      <c r="A38" s="48" t="inlineStr">
        <is>
          <t>New – Executive / KPI / Dashboard</t>
        </is>
      </c>
      <c r="B38" s="48" t="inlineStr"/>
      <c r="C38" s="48" t="inlineStr">
        <is>
          <t>CEO / Executive Committee / Delivery Head</t>
        </is>
      </c>
      <c r="D38" s="48" t="inlineStr">
        <is>
          <t>High</t>
        </is>
      </c>
      <c r="E38" s="48" t="inlineStr">
        <is>
          <t>Delivery Health</t>
        </is>
      </c>
      <c r="F38" s="48" t="inlineStr">
        <is>
          <t>Executive Composite KPI</t>
        </is>
      </c>
      <c r="G38" s="52" t="inlineStr">
        <is>
          <t>Very Complex</t>
        </is>
      </c>
      <c r="H38" s="48" t="inlineStr">
        <is>
          <t>combined_risk_issue_exposure</t>
        </is>
      </c>
      <c r="I38" s="48" t="inlineStr">
        <is>
          <t>Which projects have both high risk exposure and severe unresolved issues?</t>
        </is>
      </c>
      <c r="J38" s="48" t="inlineStr">
        <is>
          <t>Show projects with compounded risk and issue pressure.</t>
        </is>
      </c>
      <c r="K38" s="48" t="inlineStr">
        <is>
          <t>Where are risk and defect indicators reinforcing each other?</t>
        </is>
      </c>
      <c r="L38" s="48" t="inlineStr">
        <is>
          <t>as_of_date; scoring_weights; top_n</t>
        </is>
      </c>
      <c r="M38" s="48" t="inlineStr">
        <is>
          <t>Identify projects where multiple failure signals converge.</t>
        </is>
      </c>
      <c r="N38" s="48" t="inlineStr">
        <is>
          <t>Combine active risk exposure, overdue risks, open issue severity/priority/age, project RAG, deal value, and end-date proximity.</t>
        </is>
      </c>
      <c r="O38" s="48" t="inlineStr">
        <is>
          <t>tbl_projects; tbl_risk; tbl_risk_status; tbl_risk_probability; tbl_risk_impact; tbl_project_issues; tbl_project_issue_status</t>
        </is>
      </c>
      <c r="P38" s="48" t="inlineStr">
        <is>
          <t>Available – KPI Rule Required</t>
        </is>
      </c>
      <c r="Q38" s="48" t="inlineStr">
        <is>
          <t>Composite multi-table ranking</t>
        </is>
      </c>
      <c r="R38" s="52" t="inlineStr">
        <is>
          <t>High</t>
        </is>
      </c>
      <c r="S38" s="48" t="inlineStr">
        <is>
          <t>Orbit KPI/Watchlist Tool with fixed formulas; cache intent/query plan, execute against live data; use Mesh only to explain computed results.</t>
        </is>
      </c>
      <c r="T38" s="48" t="inlineStr">
        <is>
          <t>Pending – Complex KPI SQL Design</t>
        </is>
      </c>
      <c r="U38" s="48" t="n"/>
      <c r="V38" s="48" t="inlineStr"/>
    </row>
    <row r="39" ht="80" customHeight="1" s="38">
      <c r="A39" s="48" t="inlineStr">
        <is>
          <t>New – Executive / KPI / Dashboard</t>
        </is>
      </c>
      <c r="B39" s="48" t="inlineStr"/>
      <c r="C39" s="48" t="inlineStr">
        <is>
          <t>Delivery Head / Resource Manager / PMO</t>
        </is>
      </c>
      <c r="D39" s="48" t="inlineStr">
        <is>
          <t>High</t>
        </is>
      </c>
      <c r="E39" s="48" t="inlineStr">
        <is>
          <t>Resources</t>
        </is>
      </c>
      <c r="F39" s="48" t="inlineStr">
        <is>
          <t>KPI / Comparative</t>
        </is>
      </c>
      <c r="G39" s="51" t="inlineStr">
        <is>
          <t>Complex</t>
        </is>
      </c>
      <c r="H39" s="48" t="inlineStr">
        <is>
          <t>resource_overallocation_overlap</t>
        </is>
      </c>
      <c r="I39" s="48" t="inlineStr">
        <is>
          <t>Which resources are overallocated across overlapping active projects?</t>
        </is>
      </c>
      <c r="J39" s="48" t="inlineStr">
        <is>
          <t>Show users whose concurrent allocation hours exceed capacity.</t>
        </is>
      </c>
      <c r="K39" s="48" t="inlineStr">
        <is>
          <t>Where do project allocations create resource conflicts?</t>
        </is>
      </c>
      <c r="L39" s="48" t="inlineStr">
        <is>
          <t>period; weekly_capacity_hours; threshold_percent</t>
        </is>
      </c>
      <c r="M39" s="48" t="inlineStr">
        <is>
          <t>Resolve capacity conflicts before they affect delivery.</t>
        </is>
      </c>
      <c r="N39" s="48" t="inlineStr">
        <is>
          <t>For overlapping allocation_from/allocation_to periods, sum allocation_hrs per user and compare with configured capacity; include affected projects and tasks.</t>
        </is>
      </c>
      <c r="O39" s="48" t="inlineStr">
        <is>
          <t>tbl_project_users; tbl_projects; tbl_users</t>
        </is>
      </c>
      <c r="P39" s="48" t="inlineStr">
        <is>
          <t>Available – KPI Rule Required</t>
        </is>
      </c>
      <c r="Q39" s="48" t="inlineStr">
        <is>
          <t>Predefined multi-table KPI / trend aggregation</t>
        </is>
      </c>
      <c r="R39" s="52" t="inlineStr">
        <is>
          <t>High</t>
        </is>
      </c>
      <c r="S39" s="48" t="inlineStr">
        <is>
          <t>Orbit KPI/Watchlist Tool with fixed formulas; cache intent/query plan, execute against live data; use Mesh only to explain computed results.</t>
        </is>
      </c>
      <c r="T39" s="48" t="inlineStr">
        <is>
          <t>Pending – Complex KPI SQL Design</t>
        </is>
      </c>
      <c r="U39" s="48" t="n"/>
      <c r="V39" s="48" t="inlineStr"/>
    </row>
    <row r="40" ht="80" customHeight="1" s="38">
      <c r="A40" s="48" t="inlineStr">
        <is>
          <t>New – Executive / KPI / Dashboard</t>
        </is>
      </c>
      <c r="B40" s="48" t="inlineStr"/>
      <c r="C40" s="48" t="inlineStr">
        <is>
          <t>Delivery Head / Resource Manager / Finance</t>
        </is>
      </c>
      <c r="D40" s="48" t="inlineStr">
        <is>
          <t>High</t>
        </is>
      </c>
      <c r="E40" s="48" t="inlineStr">
        <is>
          <t>Resources</t>
        </is>
      </c>
      <c r="F40" s="48" t="inlineStr">
        <is>
          <t>KPI / Comparative</t>
        </is>
      </c>
      <c r="G40" s="51" t="inlineStr">
        <is>
          <t>Complex</t>
        </is>
      </c>
      <c r="H40" s="48" t="inlineStr">
        <is>
          <t>allocation_actual_effort_mismatch</t>
        </is>
      </c>
      <c r="I40" s="48" t="inlineStr">
        <is>
          <t>Which resources have the largest mismatch between allocated hours and actual logged effort?</t>
        </is>
      </c>
      <c r="J40" s="48" t="inlineStr">
        <is>
          <t>Compare allocation against timesheet consumption.</t>
        </is>
      </c>
      <c r="K40" s="48" t="inlineStr">
        <is>
          <t>Who is materially over- or under-consuming their allocation?</t>
        </is>
      </c>
      <c r="L40" s="48" t="inlineStr">
        <is>
          <t>period; variance_threshold</t>
        </is>
      </c>
      <c r="M40" s="48" t="inlineStr">
        <is>
          <t>Improve workforce planning and project forecasting.</t>
        </is>
      </c>
      <c r="N40" s="48" t="inlineStr">
        <is>
          <t>Prorate allocation_hrs for the selected period and compare with timesheet hours by user/project; calculate absolute and percentage variance.</t>
        </is>
      </c>
      <c r="O40" s="48" t="inlineStr">
        <is>
          <t>tbl_project_users; tbl_timesheets; tbl_projects; tbl_users</t>
        </is>
      </c>
      <c r="P40" s="48" t="inlineStr">
        <is>
          <t>Available – KPI Rule Required</t>
        </is>
      </c>
      <c r="Q40" s="48" t="inlineStr">
        <is>
          <t>Predefined multi-table KPI / trend aggregation</t>
        </is>
      </c>
      <c r="R40" s="52" t="inlineStr">
        <is>
          <t>High</t>
        </is>
      </c>
      <c r="S40" s="48" t="inlineStr">
        <is>
          <t>Orbit KPI/Watchlist Tool with fixed formulas; cache intent/query plan, execute against live data; use Mesh only to explain computed results.</t>
        </is>
      </c>
      <c r="T40" s="48" t="inlineStr">
        <is>
          <t>Pending – Complex KPI SQL Design</t>
        </is>
      </c>
      <c r="U40" s="48" t="n"/>
      <c r="V40" s="48" t="inlineStr"/>
    </row>
    <row r="41" ht="80" customHeight="1" s="38">
      <c r="A41" s="48" t="inlineStr">
        <is>
          <t>New – Executive / KPI / Dashboard</t>
        </is>
      </c>
      <c r="B41" s="48" t="inlineStr"/>
      <c r="C41" s="48" t="inlineStr">
        <is>
          <t>CEO / Delivery Head / Resource Manager</t>
        </is>
      </c>
      <c r="D41" s="48" t="inlineStr">
        <is>
          <t>High</t>
        </is>
      </c>
      <c r="E41" s="48" t="inlineStr">
        <is>
          <t>Resources</t>
        </is>
      </c>
      <c r="F41" s="48" t="inlineStr">
        <is>
          <t>Executive KPI / Dashboard</t>
        </is>
      </c>
      <c r="G41" s="51" t="inlineStr">
        <is>
          <t>Complex</t>
        </is>
      </c>
      <c r="H41" s="48" t="inlineStr">
        <is>
          <t>key_person_dependency</t>
        </is>
      </c>
      <c r="I41" s="48" t="inlineStr">
        <is>
          <t>Which projects depend excessively on a single contributor?</t>
        </is>
      </c>
      <c r="J41" s="48" t="inlineStr">
        <is>
          <t>Show projects where one user contributes more than :threshold_percent of logged effort.</t>
        </is>
      </c>
      <c r="K41" s="48" t="inlineStr">
        <is>
          <t>Where is key-person delivery risk highest?</t>
        </is>
      </c>
      <c r="L41" s="48" t="inlineStr">
        <is>
          <t>period; threshold_percent; minimum_hours</t>
        </is>
      </c>
      <c r="M41" s="48" t="inlineStr">
        <is>
          <t>Reduce single-point-of-failure exposure.</t>
        </is>
      </c>
      <c r="N41" s="48" t="inlineStr">
        <is>
          <t>For each project, calculate each user’s share of project timesheet hours and task ownership; flag concentration above threshold and combine with project RAG/deal value.</t>
        </is>
      </c>
      <c r="O41" s="48" t="inlineStr">
        <is>
          <t>tbl_projects; tbl_timesheets; tbl_project_task_users; tbl_project_tasks; tbl_users</t>
        </is>
      </c>
      <c r="P41" s="48" t="inlineStr">
        <is>
          <t>Available – KPI Rule Required</t>
        </is>
      </c>
      <c r="Q41" s="48" t="inlineStr">
        <is>
          <t>Predefined multi-table KPI / trend aggregation</t>
        </is>
      </c>
      <c r="R41" s="52" t="inlineStr">
        <is>
          <t>High</t>
        </is>
      </c>
      <c r="S41" s="48" t="inlineStr">
        <is>
          <t>Orbit KPI/Watchlist Tool with fixed formulas; cache intent/query plan, execute against live data; use Mesh only to explain computed results.</t>
        </is>
      </c>
      <c r="T41" s="48" t="inlineStr">
        <is>
          <t>Pending – Complex KPI SQL Design</t>
        </is>
      </c>
      <c r="U41" s="48" t="n"/>
      <c r="V41" s="48" t="inlineStr"/>
    </row>
    <row r="42" ht="80" customHeight="1" s="38">
      <c r="A42" s="48" t="inlineStr">
        <is>
          <t>New – Executive / KPI / Dashboard</t>
        </is>
      </c>
      <c r="B42" s="48" t="inlineStr"/>
      <c r="C42" s="48" t="inlineStr">
        <is>
          <t>Delivery Head / Resource Manager</t>
        </is>
      </c>
      <c r="D42" s="48" t="inlineStr">
        <is>
          <t>High</t>
        </is>
      </c>
      <c r="E42" s="48" t="inlineStr">
        <is>
          <t>Resources</t>
        </is>
      </c>
      <c r="F42" s="48" t="inlineStr">
        <is>
          <t>Dashboard KPI</t>
        </is>
      </c>
      <c r="G42" s="51" t="inlineStr">
        <is>
          <t>Complex</t>
        </is>
      </c>
      <c r="H42" s="48" t="inlineStr">
        <is>
          <t>multi_project_context_switching</t>
        </is>
      </c>
      <c r="I42" s="48" t="inlineStr">
        <is>
          <t>Which users are spread across too many concurrent projects?</t>
        </is>
      </c>
      <c r="J42" s="48" t="inlineStr">
        <is>
          <t>Rank resources by number of overlapping active project allocations.</t>
        </is>
      </c>
      <c r="K42" s="48" t="inlineStr">
        <is>
          <t>Who may be losing productivity through excessive context switching?</t>
        </is>
      </c>
      <c r="L42" s="48" t="inlineStr">
        <is>
          <t>period; project_count_threshold</t>
        </is>
      </c>
      <c r="M42" s="48" t="inlineStr">
        <is>
          <t>Reduce context switching and protect critical delivery capacity.</t>
        </is>
      </c>
      <c r="N42" s="48" t="inlineStr">
        <is>
          <t>Count overlapping accepted active allocations per user; include allocation hours, logged hours, project RAG, and role/access type.</t>
        </is>
      </c>
      <c r="O42" s="48" t="inlineStr">
        <is>
          <t>tbl_project_users; tbl_projects; tbl_users; tbl_timesheets</t>
        </is>
      </c>
      <c r="P42" s="48" t="inlineStr">
        <is>
          <t>Available – KPI Rule Required</t>
        </is>
      </c>
      <c r="Q42" s="48" t="inlineStr">
        <is>
          <t>Predefined multi-table KPI / trend aggregation</t>
        </is>
      </c>
      <c r="R42" s="52" t="inlineStr">
        <is>
          <t>High</t>
        </is>
      </c>
      <c r="S42" s="48" t="inlineStr">
        <is>
          <t>Orbit KPI/Watchlist Tool with fixed formulas; cache intent/query plan, execute against live data; use Mesh only to explain computed results.</t>
        </is>
      </c>
      <c r="T42" s="48" t="inlineStr">
        <is>
          <t>Pending – Complex KPI SQL Design</t>
        </is>
      </c>
      <c r="U42" s="48" t="n"/>
      <c r="V42" s="48" t="inlineStr"/>
    </row>
    <row r="43" ht="80" customHeight="1" s="38">
      <c r="A43" s="48" t="inlineStr">
        <is>
          <t>New – Executive / KPI / Dashboard</t>
        </is>
      </c>
      <c r="B43" s="48" t="inlineStr"/>
      <c r="C43" s="48" t="inlineStr">
        <is>
          <t>Delivery Head / Resource Manager / PMO</t>
        </is>
      </c>
      <c r="D43" s="48" t="inlineStr">
        <is>
          <t>High</t>
        </is>
      </c>
      <c r="E43" s="48" t="inlineStr">
        <is>
          <t>Resources</t>
        </is>
      </c>
      <c r="F43" s="48" t="inlineStr">
        <is>
          <t>Exception / KPI</t>
        </is>
      </c>
      <c r="G43" s="51" t="inlineStr">
        <is>
          <t>Complex</t>
        </is>
      </c>
      <c r="H43" s="48" t="inlineStr">
        <is>
          <t>allocation_expiry_delivery_risk</t>
        </is>
      </c>
      <c r="I43" s="48" t="inlineStr">
        <is>
          <t>Which resource allocations end before their assigned open tasks or project delivery dates?</t>
        </is>
      </c>
      <c r="J43" s="48" t="inlineStr">
        <is>
          <t>Show allocation end-date risks.</t>
        </is>
      </c>
      <c r="K43" s="48" t="inlineStr">
        <is>
          <t>Where could resources roll off before remaining work is due?</t>
        </is>
      </c>
      <c r="L43" s="48" t="inlineStr">
        <is>
          <t>as_of_date; horizon_days</t>
        </is>
      </c>
      <c r="M43" s="48" t="inlineStr">
        <is>
          <t>Prevent avoidable resource roll-off and handover gaps.</t>
        </is>
      </c>
      <c r="N43" s="48" t="inlineStr">
        <is>
          <t>Compare project_users.allocation_to with due dates of tasks assigned through tbl_project_task_users and project.end_date; rank by task priority/RAG.</t>
        </is>
      </c>
      <c r="O43" s="48" t="inlineStr">
        <is>
          <t>tbl_project_users; tbl_project_task_users; tbl_project_tasks; tbl_projects; tbl_users</t>
        </is>
      </c>
      <c r="P43" s="48" t="inlineStr">
        <is>
          <t>Available – KPI Rule Required</t>
        </is>
      </c>
      <c r="Q43" s="48" t="inlineStr">
        <is>
          <t>Predefined multi-table KPI / trend aggregation</t>
        </is>
      </c>
      <c r="R43" s="52" t="inlineStr">
        <is>
          <t>High</t>
        </is>
      </c>
      <c r="S43" s="48" t="inlineStr">
        <is>
          <t>Orbit KPI/Watchlist Tool with fixed formulas; cache intent/query plan, execute against live data; use Mesh only to explain computed results.</t>
        </is>
      </c>
      <c r="T43" s="48" t="inlineStr">
        <is>
          <t>Pending – Complex KPI SQL Design</t>
        </is>
      </c>
      <c r="U43" s="48" t="n"/>
      <c r="V43" s="48" t="inlineStr"/>
    </row>
    <row r="44" ht="80" customHeight="1" s="38">
      <c r="A44" s="48" t="inlineStr">
        <is>
          <t>New – Executive / KPI / Dashboard</t>
        </is>
      </c>
      <c r="B44" s="48" t="inlineStr"/>
      <c r="C44" s="48" t="inlineStr">
        <is>
          <t>CEO / Finance / Delivery Head</t>
        </is>
      </c>
      <c r="D44" s="48" t="inlineStr">
        <is>
          <t>High</t>
        </is>
      </c>
      <c r="E44" s="48" t="inlineStr">
        <is>
          <t>Financial &amp; Effort</t>
        </is>
      </c>
      <c r="F44" s="48" t="inlineStr">
        <is>
          <t>Executive KPI / Dashboard</t>
        </is>
      </c>
      <c r="G44" s="51" t="inlineStr">
        <is>
          <t>Complex</t>
        </is>
      </c>
      <c r="H44" s="48" t="inlineStr">
        <is>
          <t>chargeable_effort_ratio</t>
        </is>
      </c>
      <c r="I44" s="48" t="inlineStr">
        <is>
          <t>What percentage of logged effort is chargeable by project, PM, client, and project type?</t>
        </is>
      </c>
      <c r="J44" s="48" t="inlineStr">
        <is>
          <t>Show chargeable versus non-chargeable effort mix.</t>
        </is>
      </c>
      <c r="K44" s="48" t="inlineStr">
        <is>
          <t>Where is non-chargeable delivery effort concentrated?</t>
        </is>
      </c>
      <c r="L44" s="48" t="inlineStr">
        <is>
          <t>period; grouping_dimension</t>
        </is>
      </c>
      <c r="M44" s="48" t="inlineStr">
        <is>
          <t>Improve commercial efficiency and identify leakage.</t>
        </is>
      </c>
      <c r="N44" s="48" t="inlineStr">
        <is>
          <t>Join timesheets to tasks; chargeable ratio = hours on tasks with chargeable=Y ÷ total logged hours; group by selected dimensions.</t>
        </is>
      </c>
      <c r="O44" s="48" t="inlineStr">
        <is>
          <t>tbl_timesheets; tbl_project_tasks; tbl_projects; tbl_users; tbl_clients; tbl_project_types</t>
        </is>
      </c>
      <c r="P44" s="48" t="inlineStr">
        <is>
          <t>Available – KPI Rule Required</t>
        </is>
      </c>
      <c r="Q44" s="48" t="inlineStr">
        <is>
          <t>Predefined multi-table KPI / trend aggregation</t>
        </is>
      </c>
      <c r="R44" s="52" t="inlineStr">
        <is>
          <t>High</t>
        </is>
      </c>
      <c r="S44" s="48" t="inlineStr">
        <is>
          <t>Orbit KPI/Watchlist Tool with fixed formulas; cache intent/query plan, execute against live data; use Mesh only to explain computed results.</t>
        </is>
      </c>
      <c r="T44" s="48" t="inlineStr">
        <is>
          <t>Pending – Complex KPI SQL Design</t>
        </is>
      </c>
      <c r="U44" s="48" t="n"/>
      <c r="V44" s="48" t="inlineStr"/>
    </row>
    <row r="45" ht="80" customHeight="1" s="38">
      <c r="A45" s="48" t="inlineStr">
        <is>
          <t>New – Executive / KPI / Dashboard</t>
        </is>
      </c>
      <c r="B45" s="48" t="inlineStr"/>
      <c r="C45" s="48" t="inlineStr">
        <is>
          <t>CEO / Executive Committee</t>
        </is>
      </c>
      <c r="D45" s="48" t="inlineStr">
        <is>
          <t>High</t>
        </is>
      </c>
      <c r="E45" s="48" t="inlineStr">
        <is>
          <t>Executive Portfolio</t>
        </is>
      </c>
      <c r="F45" s="48" t="inlineStr">
        <is>
          <t>Forecast / Predictive</t>
        </is>
      </c>
      <c r="G45" s="52" t="inlineStr">
        <is>
          <t>Very Complex</t>
        </is>
      </c>
      <c r="H45" s="48" t="inlineStr">
        <is>
          <t>executive_30_60_90_day_watchlist</t>
        </is>
      </c>
      <c r="I45" s="48" t="inlineStr">
        <is>
          <t>What projects, risks, tasks, issues, and allocation expiries need executive attention in the next 30, 60, and 90 days?</t>
        </is>
      </c>
      <c r="J45" s="48" t="inlineStr">
        <is>
          <t>Create a 30/60/90-day delivery watchlist.</t>
        </is>
      </c>
      <c r="K45" s="48" t="inlineStr">
        <is>
          <t>What upcoming events could materially affect the portfolio?</t>
        </is>
      </c>
      <c r="L45" s="48" t="inlineStr">
        <is>
          <t>as_of_date; scoring_weights; horizons</t>
        </is>
      </c>
      <c r="M45" s="48" t="inlineStr">
        <is>
          <t>Provide a single forward-looking executive action agenda.</t>
        </is>
      </c>
      <c r="N45" s="48" t="inlineStr">
        <is>
          <t>Create horizon buckets using project end dates, task due dates, issue planned closure dates, risk target/revised closure dates, and allocation_to dates; rank by deal value, RAG, severity/exposure, and dependency.</t>
        </is>
      </c>
      <c r="O45" s="48" t="inlineStr">
        <is>
          <t>tbl_projects; tbl_project_tasks; tbl_project_issues; tbl_risk; tbl_project_users; tbl_users</t>
        </is>
      </c>
      <c r="P45" s="48" t="inlineStr">
        <is>
          <t>Available – KPI Rule Required</t>
        </is>
      </c>
      <c r="Q45" s="48" t="inlineStr">
        <is>
          <t>Deterministic forecast / watchlist scoring</t>
        </is>
      </c>
      <c r="R45" s="52" t="inlineStr">
        <is>
          <t>High</t>
        </is>
      </c>
      <c r="S45" s="48" t="inlineStr">
        <is>
          <t>Orbit KPI/Watchlist Tool with fixed formulas; cache intent/query plan, execute against live data; use Mesh only to explain computed results.</t>
        </is>
      </c>
      <c r="T45" s="48" t="inlineStr">
        <is>
          <t>Pending – Complex KPI SQL Design</t>
        </is>
      </c>
      <c r="U45" s="48" t="n"/>
      <c r="V45" s="48" t="inlineStr"/>
    </row>
  </sheetData>
  <autoFilter ref="A1:V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38" min="1" max="1"/>
    <col width="22" customWidth="1" style="38" min="2" max="2"/>
    <col width="32" customWidth="1" style="38" min="3" max="3"/>
    <col width="48" customWidth="1" style="38" min="4" max="4"/>
    <col width="42" customWidth="1" style="38" min="5" max="5"/>
    <col width="58" customWidth="1" style="38" min="6" max="6"/>
    <col width="58" customWidth="1" style="38" min="7" max="7"/>
    <col width="30" customWidth="1" style="38" min="8" max="8"/>
  </cols>
  <sheetData>
    <row r="1" ht="34" customHeight="1" s="38">
      <c r="A1" s="46" t="inlineStr">
        <is>
          <t>Original ID</t>
        </is>
      </c>
      <c r="B1" s="46" t="inlineStr">
        <is>
          <t>PMS Area</t>
        </is>
      </c>
      <c r="C1" s="46" t="inlineStr">
        <is>
          <t>Canonical Intent</t>
        </is>
      </c>
      <c r="D1" s="46" t="inlineStr">
        <is>
          <t>Primary Question</t>
        </is>
      </c>
      <c r="E1" s="46" t="inlineStr">
        <is>
          <t>Empty Tables</t>
        </is>
      </c>
      <c r="F1" s="46" t="inlineStr">
        <is>
          <t>Reason</t>
        </is>
      </c>
      <c r="G1" s="46" t="inlineStr">
        <is>
          <t>Recommended Replacement</t>
        </is>
      </c>
      <c r="H1" s="46" t="inlineStr">
        <is>
          <t>Original Mapping Status</t>
        </is>
      </c>
    </row>
    <row r="2" ht="62" customHeight="1" s="38">
      <c r="A2" s="48" t="n">
        <v>13</v>
      </c>
      <c r="B2" s="48" t="inlineStr">
        <is>
          <t>Projects</t>
        </is>
      </c>
      <c r="C2" s="48" t="inlineStr">
        <is>
          <t>projects_by_team</t>
        </is>
      </c>
      <c r="D2" s="48" t="inlineStr">
        <is>
          <t>Show projects for team :team_name.</t>
        </is>
      </c>
      <c r="E2" s="52" t="inlineStr">
        <is>
          <t>tbl_project_team</t>
        </is>
      </c>
      <c r="F2" s="50" t="inlineStr">
        <is>
          <t>Dead — Team Not Populated</t>
        </is>
      </c>
      <c r="G2" s="48" t="inlineStr">
        <is>
          <t>Use project/resource allocation questions; team-name reporting is unavailable because tbl_project_team is empty.</t>
        </is>
      </c>
      <c r="H2" s="48" t="inlineStr">
        <is>
          <t>Mapped – Direct Schema</t>
        </is>
      </c>
    </row>
    <row r="3" ht="62" customHeight="1" s="38">
      <c r="A3" s="48" t="n">
        <v>21</v>
      </c>
      <c r="B3" s="48" t="inlineStr">
        <is>
          <t>Milestones</t>
        </is>
      </c>
      <c r="C3" s="48" t="inlineStr">
        <is>
          <t>project_milestones</t>
        </is>
      </c>
      <c r="D3" s="48" t="inlineStr">
        <is>
          <t>Show milestones for :project_name.</t>
        </is>
      </c>
      <c r="E3" s="52" t="inlineStr">
        <is>
          <t>tbl_project_task_milestone, tbl_project_task_milestone_mapping</t>
        </is>
      </c>
      <c r="F3" s="50" t="inlineStr">
        <is>
          <t>Dead — Milestone Module Unused</t>
        </is>
      </c>
      <c r="G3" s="48" t="inlineStr">
        <is>
          <t>Use task due-date, dependency, and delivery-risk questions until milestone data is populated.</t>
        </is>
      </c>
      <c r="H3" s="48" t="inlineStr">
        <is>
          <t>Mapped – Direct Schema</t>
        </is>
      </c>
    </row>
    <row r="4" ht="62" customHeight="1" s="38">
      <c r="A4" s="48" t="n">
        <v>22</v>
      </c>
      <c r="B4" s="48" t="inlineStr">
        <is>
          <t>Milestones</t>
        </is>
      </c>
      <c r="C4" s="48" t="inlineStr">
        <is>
          <t>upcoming_milestones</t>
        </is>
      </c>
      <c r="D4" s="48" t="inlineStr">
        <is>
          <t>Which milestones are due in the next :days days?</t>
        </is>
      </c>
      <c r="E4" s="52" t="inlineStr">
        <is>
          <t>tbl_project_task_milestone, tbl_project_task_milestone_mapping</t>
        </is>
      </c>
      <c r="F4" s="50" t="inlineStr">
        <is>
          <t>Dead — Milestone Module Unused</t>
        </is>
      </c>
      <c r="G4" s="48" t="inlineStr">
        <is>
          <t>Use task due-date, dependency, and delivery-risk questions until milestone data is populated.</t>
        </is>
      </c>
      <c r="H4" s="48" t="inlineStr">
        <is>
          <t>Mapped – Direct Schema</t>
        </is>
      </c>
    </row>
    <row r="5" ht="62" customHeight="1" s="38">
      <c r="A5" s="48" t="n">
        <v>23</v>
      </c>
      <c r="B5" s="48" t="inlineStr">
        <is>
          <t>Milestones</t>
        </is>
      </c>
      <c r="C5" s="48" t="inlineStr">
        <is>
          <t>overdue_milestones</t>
        </is>
      </c>
      <c r="D5" s="48" t="inlineStr">
        <is>
          <t>Which milestones are overdue?</t>
        </is>
      </c>
      <c r="E5" s="52" t="inlineStr">
        <is>
          <t>tbl_project_task_milestone</t>
        </is>
      </c>
      <c r="F5" s="50" t="inlineStr">
        <is>
          <t>Blocked — No Data + Business Rule</t>
        </is>
      </c>
      <c r="G5" s="48" t="inlineStr">
        <is>
          <t>Use task due-date, dependency, and delivery-risk questions until milestone data is populated.</t>
        </is>
      </c>
      <c r="H5" s="48" t="inlineStr">
        <is>
          <t>Not Applicable – Non-Direct Support</t>
        </is>
      </c>
    </row>
    <row r="6" ht="62" customHeight="1" s="38">
      <c r="A6" s="48" t="n">
        <v>24</v>
      </c>
      <c r="B6" s="48" t="inlineStr">
        <is>
          <t>Milestones</t>
        </is>
      </c>
      <c r="C6" s="48" t="inlineStr">
        <is>
          <t>next_project_milestone</t>
        </is>
      </c>
      <c r="D6" s="48" t="inlineStr">
        <is>
          <t>What is the next milestone for :project_name?</t>
        </is>
      </c>
      <c r="E6" s="52" t="inlineStr">
        <is>
          <t>tbl_project_task_milestone, tbl_project_task_milestone_mapping</t>
        </is>
      </c>
      <c r="F6" s="50" t="inlineStr">
        <is>
          <t>Dead — Milestone Module Unused</t>
        </is>
      </c>
      <c r="G6" s="48" t="inlineStr">
        <is>
          <t>Use task due-date, dependency, and delivery-risk questions until milestone data is populated.</t>
        </is>
      </c>
      <c r="H6" s="48" t="inlineStr">
        <is>
          <t>Mapped – Direct Schema</t>
        </is>
      </c>
    </row>
    <row r="7" ht="62" customHeight="1" s="38">
      <c r="A7" s="48" t="n">
        <v>25</v>
      </c>
      <c r="B7" s="48" t="inlineStr">
        <is>
          <t>Milestones</t>
        </is>
      </c>
      <c r="C7" s="48" t="inlineStr">
        <is>
          <t>milestone_tasks</t>
        </is>
      </c>
      <c r="D7" s="48" t="inlineStr">
        <is>
          <t>Which tasks belong to milestone :milestone_name?</t>
        </is>
      </c>
      <c r="E7" s="52" t="inlineStr">
        <is>
          <t>tbl_project_task_milestone, tbl_project_task_milestone_mapping</t>
        </is>
      </c>
      <c r="F7" s="50" t="inlineStr">
        <is>
          <t>Dead — Milestone Module Unused</t>
        </is>
      </c>
      <c r="G7" s="48" t="inlineStr">
        <is>
          <t>Use task due-date, dependency, and delivery-risk questions until milestone data is populated.</t>
        </is>
      </c>
      <c r="H7" s="48" t="inlineStr">
        <is>
          <t>Mapped – Direct Schema</t>
        </is>
      </c>
    </row>
    <row r="8" ht="62" customHeight="1" s="38">
      <c r="A8" s="48" t="n">
        <v>27</v>
      </c>
      <c r="B8" s="48" t="inlineStr">
        <is>
          <t>Milestones</t>
        </is>
      </c>
      <c r="C8" s="48" t="inlineStr">
        <is>
          <t>milestones_without_tasks</t>
        </is>
      </c>
      <c r="D8" s="48" t="inlineStr">
        <is>
          <t>Which milestones have no mapped tasks?</t>
        </is>
      </c>
      <c r="E8" s="52" t="inlineStr">
        <is>
          <t>tbl_project_task_milestone, tbl_project_task_milestone_mapping</t>
        </is>
      </c>
      <c r="F8" s="50" t="inlineStr">
        <is>
          <t>Dead — Milestone Module Unused</t>
        </is>
      </c>
      <c r="G8" s="48" t="inlineStr">
        <is>
          <t>Use task due-date, dependency, and delivery-risk questions until milestone data is populated.</t>
        </is>
      </c>
      <c r="H8" s="48" t="inlineStr">
        <is>
          <t>Mapped – Direct Schema</t>
        </is>
      </c>
    </row>
    <row r="9" ht="62" customHeight="1" s="38">
      <c r="A9" s="48" t="n">
        <v>29</v>
      </c>
      <c r="B9" s="48" t="inlineStr">
        <is>
          <t>Milestones</t>
        </is>
      </c>
      <c r="C9" s="48" t="inlineStr">
        <is>
          <t>milestones_due_month</t>
        </is>
      </c>
      <c r="D9" s="48" t="inlineStr">
        <is>
          <t>Which milestones are due this month?</t>
        </is>
      </c>
      <c r="E9" s="52" t="inlineStr">
        <is>
          <t>tbl_project_task_milestone, tbl_project_task_milestone_mapping</t>
        </is>
      </c>
      <c r="F9" s="50" t="inlineStr">
        <is>
          <t>Dead — Milestone Module Unused</t>
        </is>
      </c>
      <c r="G9" s="48" t="inlineStr">
        <is>
          <t>Use task due-date, dependency, and delivery-risk questions until milestone data is populated.</t>
        </is>
      </c>
      <c r="H9" s="48" t="inlineStr">
        <is>
          <t>Mapped – Direct Schema</t>
        </is>
      </c>
    </row>
    <row r="10" ht="62" customHeight="1" s="38">
      <c r="A10" s="48" t="n">
        <v>72</v>
      </c>
      <c r="B10" s="48" t="inlineStr">
        <is>
          <t>Resources</t>
        </is>
      </c>
      <c r="C10" s="48" t="inlineStr">
        <is>
          <t>resources_by_team</t>
        </is>
      </c>
      <c r="D10" s="48" t="inlineStr">
        <is>
          <t>Show active users in team :team_name.</t>
        </is>
      </c>
      <c r="E10" s="52" t="inlineStr">
        <is>
          <t>tbl_project_team</t>
        </is>
      </c>
      <c r="F10" s="50" t="inlineStr">
        <is>
          <t>Blocked — No Data + Business Rule</t>
        </is>
      </c>
      <c r="G10" s="48" t="inlineStr">
        <is>
          <t>Use project/resource allocation questions; team-name reporting is unavailable because tbl_project_team is empty.</t>
        </is>
      </c>
      <c r="H10" s="48" t="inlineStr">
        <is>
          <t>Not Applicable – Non-Direct Support</t>
        </is>
      </c>
    </row>
    <row r="11" ht="62" customHeight="1" s="38">
      <c r="A11" s="48" t="n">
        <v>93</v>
      </c>
      <c r="B11" s="48" t="inlineStr">
        <is>
          <t>Estimation &amp; Financials</t>
        </is>
      </c>
      <c r="C11" s="48" t="inlineStr">
        <is>
          <t>project_estimation_versions</t>
        </is>
      </c>
      <c r="D11" s="48" t="inlineStr">
        <is>
          <t>Show estimation versions for :project_name.</t>
        </is>
      </c>
      <c r="E11" s="52" t="inlineStr">
        <is>
          <t>tbl_project_estimation</t>
        </is>
      </c>
      <c r="F11" s="50" t="inlineStr">
        <is>
          <t>Dead — Estimation Module Unused</t>
        </is>
      </c>
      <c r="G11" s="48" t="inlineStr">
        <is>
          <t>Use project-level estimate, booked hours, chargeable hours, grant hours, and deal value until estimation tables are populated.</t>
        </is>
      </c>
      <c r="H11" s="48" t="inlineStr">
        <is>
          <t>Mapped – Direct Schema</t>
        </is>
      </c>
    </row>
    <row r="12" ht="62" customHeight="1" s="38">
      <c r="A12" s="48" t="n">
        <v>94</v>
      </c>
      <c r="B12" s="48" t="inlineStr">
        <is>
          <t>Estimation &amp; Financials</t>
        </is>
      </c>
      <c r="C12" s="48" t="inlineStr">
        <is>
          <t>project_estimation_status</t>
        </is>
      </c>
      <c r="D12" s="48" t="inlineStr">
        <is>
          <t>What is the estimation status for :project_name?</t>
        </is>
      </c>
      <c r="E12" s="52" t="inlineStr">
        <is>
          <t>tbl_project_estimation</t>
        </is>
      </c>
      <c r="F12" s="50" t="inlineStr">
        <is>
          <t>Dead — Estimation Module Unused</t>
        </is>
      </c>
      <c r="G12" s="48" t="inlineStr">
        <is>
          <t>Use project-level estimate, booked hours, chargeable hours, grant hours, and deal value until estimation tables are populated.</t>
        </is>
      </c>
      <c r="H12" s="48" t="inlineStr">
        <is>
          <t>Mapped – Direct Schema</t>
        </is>
      </c>
    </row>
    <row r="13" ht="62" customHeight="1" s="38">
      <c r="A13" s="48" t="n">
        <v>95</v>
      </c>
      <c r="B13" s="48" t="inlineStr">
        <is>
          <t>Estimation &amp; Financials</t>
        </is>
      </c>
      <c r="C13" s="48" t="inlineStr">
        <is>
          <t>estimation_summary</t>
        </is>
      </c>
      <c r="D13" s="48" t="inlineStr">
        <is>
          <t>Show the detailed estimation summary for :project_name.</t>
        </is>
      </c>
      <c r="E13" s="52" t="inlineStr">
        <is>
          <t>tbl_estimation_summary, tbl_project_estimation</t>
        </is>
      </c>
      <c r="F13" s="50" t="inlineStr">
        <is>
          <t>Dead — Estimation Module Unused</t>
        </is>
      </c>
      <c r="G13" s="48" t="inlineStr">
        <is>
          <t>Use project-level estimate, booked hours, chargeable hours, grant hours, and deal value until estimation tables are populated.</t>
        </is>
      </c>
      <c r="H13" s="48" t="inlineStr">
        <is>
          <t>Mapped – Direct Schema</t>
        </is>
      </c>
    </row>
    <row r="14" ht="62" customHeight="1" s="38">
      <c r="A14" s="48" t="n">
        <v>96</v>
      </c>
      <c r="B14" s="48" t="inlineStr">
        <is>
          <t>Estimation &amp; Financials</t>
        </is>
      </c>
      <c r="C14" s="48" t="inlineStr">
        <is>
          <t>estimation_assumptions</t>
        </is>
      </c>
      <c r="D14" s="48" t="inlineStr">
        <is>
          <t>Show estimation assumptions for :project_name.</t>
        </is>
      </c>
      <c r="E14" s="52" t="inlineStr">
        <is>
          <t>tbl_estimation_asumption, tbl_project_estimation</t>
        </is>
      </c>
      <c r="F14" s="50" t="inlineStr">
        <is>
          <t>Dead — Estimation Module Unused</t>
        </is>
      </c>
      <c r="G14" s="48" t="inlineStr">
        <is>
          <t>Use project-level estimate, booked hours, chargeable hours, grant hours, and deal value until estimation tables are populated.</t>
        </is>
      </c>
      <c r="H14" s="48" t="inlineStr">
        <is>
          <t>Mapped – Direct Schema</t>
        </is>
      </c>
    </row>
    <row r="15" ht="62" customHeight="1" s="38">
      <c r="A15" s="48" t="n">
        <v>97</v>
      </c>
      <c r="B15" s="48" t="inlineStr">
        <is>
          <t>Estimation &amp; Financials</t>
        </is>
      </c>
      <c r="C15" s="48" t="inlineStr">
        <is>
          <t>estimation_risks</t>
        </is>
      </c>
      <c r="D15" s="48" t="inlineStr">
        <is>
          <t>Show estimation risks for :project_name.</t>
        </is>
      </c>
      <c r="E15" s="52" t="inlineStr">
        <is>
          <t>tbl_estimation_risks, tbl_project_estimation</t>
        </is>
      </c>
      <c r="F15" s="50" t="inlineStr">
        <is>
          <t>Dead — Estimation Module Unused</t>
        </is>
      </c>
      <c r="G15" s="48" t="inlineStr">
        <is>
          <t>Use project-level estimate, booked hours, chargeable hours, grant hours, and deal value until estimation tables are populated.</t>
        </is>
      </c>
      <c r="H15" s="48" t="inlineStr">
        <is>
          <t>Mapped – Direct Schema</t>
        </is>
      </c>
    </row>
  </sheetData>
  <autoFilter ref="A1:H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F6B78"/>
    <outlinePr summaryBelow="1" summaryRight="1"/>
    <pageSetUpPr/>
  </sheetPr>
  <dimension ref="A1:E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38" min="1" max="1"/>
    <col width="29" customWidth="1" style="38" min="2" max="2"/>
    <col width="22" customWidth="1" style="38" min="3" max="3"/>
    <col width="35" customWidth="1" style="38" min="4" max="4"/>
    <col width="65" customWidth="1" style="38" min="5" max="5"/>
  </cols>
  <sheetData>
    <row r="1" ht="34" customHeight="1" s="38">
      <c r="A1" s="46" t="inlineStr">
        <is>
          <t>Table</t>
        </is>
      </c>
      <c r="B1" s="46" t="inlineStr">
        <is>
          <t>Data Status</t>
        </is>
      </c>
      <c r="C1" s="46" t="inlineStr">
        <is>
          <t>Question Usage Count</t>
        </is>
      </c>
      <c r="D1" s="46" t="inlineStr">
        <is>
          <t>Use in Reorganized Catalogue</t>
        </is>
      </c>
      <c r="E1" s="46" t="inlineStr">
        <is>
          <t>Notes</t>
        </is>
      </c>
    </row>
    <row r="2">
      <c r="A2" s="48" t="inlineStr">
        <is>
          <t>tbl_projects</t>
        </is>
      </c>
      <c r="B2" s="48" t="inlineStr">
        <is>
          <t>Populated / not listed as empty</t>
        </is>
      </c>
      <c r="C2" s="48">
        <f>COUNTIF('Reorganized Questionnaire'!O:O,"*tbl_projects*")</f>
        <v/>
      </c>
      <c r="D2" s="48" t="inlineStr">
        <is>
          <t>Yes</t>
        </is>
      </c>
      <c r="E2" s="48" t="inlineStr">
        <is>
          <t>Used for simple or complex questions in the active catalogue.</t>
        </is>
      </c>
    </row>
    <row r="3">
      <c r="A3" s="48" t="inlineStr">
        <is>
          <t>tbl_project_status</t>
        </is>
      </c>
      <c r="B3" s="48" t="inlineStr">
        <is>
          <t>Populated / not listed as empty</t>
        </is>
      </c>
      <c r="C3" s="48">
        <f>COUNTIF('Reorganized Questionnaire'!O:O,"*tbl_project_status*")</f>
        <v/>
      </c>
      <c r="D3" s="48" t="inlineStr">
        <is>
          <t>Yes</t>
        </is>
      </c>
      <c r="E3" s="48" t="inlineStr">
        <is>
          <t>Used for simple or complex questions in the active catalogue.</t>
        </is>
      </c>
    </row>
    <row r="4">
      <c r="A4" s="48" t="inlineStr">
        <is>
          <t>tbl_project_stages</t>
        </is>
      </c>
      <c r="B4" s="48" t="inlineStr">
        <is>
          <t>Populated / not listed as empty</t>
        </is>
      </c>
      <c r="C4" s="48">
        <f>COUNTIF('Reorganized Questionnaire'!O:O,"*tbl_project_stages*")</f>
        <v/>
      </c>
      <c r="D4" s="48" t="inlineStr">
        <is>
          <t>Yes</t>
        </is>
      </c>
      <c r="E4" s="48" t="inlineStr">
        <is>
          <t>Used for simple or complex questions in the active catalogue.</t>
        </is>
      </c>
    </row>
    <row r="5">
      <c r="A5" s="48" t="inlineStr">
        <is>
          <t>tbl_project_types</t>
        </is>
      </c>
      <c r="B5" s="48" t="inlineStr">
        <is>
          <t>Populated / not listed as empty</t>
        </is>
      </c>
      <c r="C5" s="48">
        <f>COUNTIF('Reorganized Questionnaire'!O:O,"*tbl_project_types*")</f>
        <v/>
      </c>
      <c r="D5" s="48" t="inlineStr">
        <is>
          <t>Yes</t>
        </is>
      </c>
      <c r="E5" s="48" t="inlineStr">
        <is>
          <t>Used for simple or complex questions in the active catalogue.</t>
        </is>
      </c>
    </row>
    <row r="6">
      <c r="A6" s="48" t="inlineStr">
        <is>
          <t>tbl_clients</t>
        </is>
      </c>
      <c r="B6" s="48" t="inlineStr">
        <is>
          <t>Populated / not listed as empty</t>
        </is>
      </c>
      <c r="C6" s="48">
        <f>COUNTIF('Reorganized Questionnaire'!O:O,"*tbl_clients*")</f>
        <v/>
      </c>
      <c r="D6" s="48" t="inlineStr">
        <is>
          <t>Yes</t>
        </is>
      </c>
      <c r="E6" s="48" t="inlineStr">
        <is>
          <t>Used for simple or complex questions in the active catalogue.</t>
        </is>
      </c>
    </row>
    <row r="7">
      <c r="A7" s="48" t="inlineStr">
        <is>
          <t>department</t>
        </is>
      </c>
      <c r="B7" s="48" t="inlineStr">
        <is>
          <t>Populated / not listed as empty</t>
        </is>
      </c>
      <c r="C7" s="48">
        <f>COUNTIF('Reorganized Questionnaire'!O:O,"*department*")</f>
        <v/>
      </c>
      <c r="D7" s="48" t="inlineStr">
        <is>
          <t>Yes</t>
        </is>
      </c>
      <c r="E7" s="48" t="inlineStr">
        <is>
          <t>Used for simple or complex questions in the active catalogue.</t>
        </is>
      </c>
    </row>
    <row r="8">
      <c r="A8" s="48" t="inlineStr">
        <is>
          <t>tbl_project_tasks</t>
        </is>
      </c>
      <c r="B8" s="48" t="inlineStr">
        <is>
          <t>Populated / not listed as empty</t>
        </is>
      </c>
      <c r="C8" s="48">
        <f>COUNTIF('Reorganized Questionnaire'!O:O,"*tbl_project_tasks*")</f>
        <v/>
      </c>
      <c r="D8" s="48" t="inlineStr">
        <is>
          <t>Yes</t>
        </is>
      </c>
      <c r="E8" s="48" t="inlineStr">
        <is>
          <t>Used for simple or complex questions in the active catalogue.</t>
        </is>
      </c>
    </row>
    <row r="9">
      <c r="A9" s="48" t="inlineStr">
        <is>
          <t>tbl_project_task_status</t>
        </is>
      </c>
      <c r="B9" s="48" t="inlineStr">
        <is>
          <t>Populated / not listed as empty</t>
        </is>
      </c>
      <c r="C9" s="48">
        <f>COUNTIF('Reorganized Questionnaire'!O:O,"*tbl_project_task_status*")</f>
        <v/>
      </c>
      <c r="D9" s="48" t="inlineStr">
        <is>
          <t>Yes</t>
        </is>
      </c>
      <c r="E9" s="48" t="inlineStr">
        <is>
          <t>Used for simple or complex questions in the active catalogue.</t>
        </is>
      </c>
    </row>
    <row r="10">
      <c r="A10" s="48" t="inlineStr">
        <is>
          <t>tbl_project_task_users</t>
        </is>
      </c>
      <c r="B10" s="48" t="inlineStr">
        <is>
          <t>Populated / not listed as empty</t>
        </is>
      </c>
      <c r="C10" s="48">
        <f>COUNTIF('Reorganized Questionnaire'!O:O,"*tbl_project_task_users*")</f>
        <v/>
      </c>
      <c r="D10" s="48" t="inlineStr">
        <is>
          <t>Yes</t>
        </is>
      </c>
      <c r="E10" s="48" t="inlineStr">
        <is>
          <t>Used for simple or complex questions in the active catalogue.</t>
        </is>
      </c>
    </row>
    <row r="11">
      <c r="A11" s="48" t="inlineStr">
        <is>
          <t>tbl_timesheets</t>
        </is>
      </c>
      <c r="B11" s="48" t="inlineStr">
        <is>
          <t>Populated / not listed as empty</t>
        </is>
      </c>
      <c r="C11" s="48">
        <f>COUNTIF('Reorganized Questionnaire'!O:O,"*tbl_timesheets*")</f>
        <v/>
      </c>
      <c r="D11" s="48" t="inlineStr">
        <is>
          <t>Yes</t>
        </is>
      </c>
      <c r="E11" s="48" t="inlineStr">
        <is>
          <t>Used for simple or complex questions in the active catalogue.</t>
        </is>
      </c>
    </row>
    <row r="12">
      <c r="A12" s="48" t="inlineStr">
        <is>
          <t>tbl_project_users</t>
        </is>
      </c>
      <c r="B12" s="48" t="inlineStr">
        <is>
          <t>Populated / not listed as empty</t>
        </is>
      </c>
      <c r="C12" s="48">
        <f>COUNTIF('Reorganized Questionnaire'!O:O,"*tbl_project_users*")</f>
        <v/>
      </c>
      <c r="D12" s="48" t="inlineStr">
        <is>
          <t>Yes</t>
        </is>
      </c>
      <c r="E12" s="48" t="inlineStr">
        <is>
          <t>Used for simple or complex questions in the active catalogue.</t>
        </is>
      </c>
    </row>
    <row r="13">
      <c r="A13" s="48" t="inlineStr">
        <is>
          <t>tbl_users</t>
        </is>
      </c>
      <c r="B13" s="48" t="inlineStr">
        <is>
          <t>Populated / not listed as empty</t>
        </is>
      </c>
      <c r="C13" s="48">
        <f>COUNTIF('Reorganized Questionnaire'!O:O,"*tbl_users*")</f>
        <v/>
      </c>
      <c r="D13" s="48" t="inlineStr">
        <is>
          <t>Yes</t>
        </is>
      </c>
      <c r="E13" s="48" t="inlineStr">
        <is>
          <t>Used for simple or complex questions in the active catalogue.</t>
        </is>
      </c>
    </row>
    <row r="14">
      <c r="A14" s="48" t="inlineStr">
        <is>
          <t>tbl_project_issues</t>
        </is>
      </c>
      <c r="B14" s="48" t="inlineStr">
        <is>
          <t>Populated / not listed as empty</t>
        </is>
      </c>
      <c r="C14" s="48">
        <f>COUNTIF('Reorganized Questionnaire'!O:O,"*tbl_project_issues*")</f>
        <v/>
      </c>
      <c r="D14" s="48" t="inlineStr">
        <is>
          <t>Yes</t>
        </is>
      </c>
      <c r="E14" s="48" t="inlineStr">
        <is>
          <t>Used for simple or complex questions in the active catalogue.</t>
        </is>
      </c>
    </row>
    <row r="15">
      <c r="A15" s="48" t="inlineStr">
        <is>
          <t>tbl_project_issue_status</t>
        </is>
      </c>
      <c r="B15" s="48" t="inlineStr">
        <is>
          <t>Populated / not listed as empty</t>
        </is>
      </c>
      <c r="C15" s="48">
        <f>COUNTIF('Reorganized Questionnaire'!O:O,"*tbl_project_issue_status*")</f>
        <v/>
      </c>
      <c r="D15" s="48" t="inlineStr">
        <is>
          <t>Yes</t>
        </is>
      </c>
      <c r="E15" s="48" t="inlineStr">
        <is>
          <t>Used for simple or complex questions in the active catalogue.</t>
        </is>
      </c>
    </row>
    <row r="16">
      <c r="A16" s="48" t="inlineStr">
        <is>
          <t>tbl_project_issue_users</t>
        </is>
      </c>
      <c r="B16" s="48" t="inlineStr">
        <is>
          <t>Populated / not listed as empty</t>
        </is>
      </c>
      <c r="C16" s="48">
        <f>COUNTIF('Reorganized Questionnaire'!O:O,"*tbl_project_issue_users*")</f>
        <v/>
      </c>
      <c r="D16" s="48" t="inlineStr">
        <is>
          <t>Yes</t>
        </is>
      </c>
      <c r="E16" s="48" t="inlineStr">
        <is>
          <t>Used for simple or complex questions in the active catalogue.</t>
        </is>
      </c>
    </row>
    <row r="17">
      <c r="A17" s="48" t="inlineStr">
        <is>
          <t>tbl_risk</t>
        </is>
      </c>
      <c r="B17" s="48" t="inlineStr">
        <is>
          <t>Populated / not listed as empty</t>
        </is>
      </c>
      <c r="C17" s="48">
        <f>COUNTIF('Reorganized Questionnaire'!O:O,"*tbl_risk*")</f>
        <v/>
      </c>
      <c r="D17" s="48" t="inlineStr">
        <is>
          <t>Yes</t>
        </is>
      </c>
      <c r="E17" s="48" t="inlineStr">
        <is>
          <t>Used for simple or complex questions in the active catalogue.</t>
        </is>
      </c>
    </row>
    <row r="18">
      <c r="A18" s="48" t="inlineStr">
        <is>
          <t>tbl_risk_status</t>
        </is>
      </c>
      <c r="B18" s="48" t="inlineStr">
        <is>
          <t>Populated / not listed as empty</t>
        </is>
      </c>
      <c r="C18" s="48">
        <f>COUNTIF('Reorganized Questionnaire'!O:O,"*tbl_risk_status*")</f>
        <v/>
      </c>
      <c r="D18" s="48" t="inlineStr">
        <is>
          <t>Yes</t>
        </is>
      </c>
      <c r="E18" s="48" t="inlineStr">
        <is>
          <t>Used for simple or complex questions in the active catalogue.</t>
        </is>
      </c>
    </row>
    <row r="19">
      <c r="A19" s="48" t="inlineStr">
        <is>
          <t>tbl_risk_probability</t>
        </is>
      </c>
      <c r="B19" s="48" t="inlineStr">
        <is>
          <t>Populated / not listed as empty</t>
        </is>
      </c>
      <c r="C19" s="48">
        <f>COUNTIF('Reorganized Questionnaire'!O:O,"*tbl_risk_probability*")</f>
        <v/>
      </c>
      <c r="D19" s="48" t="inlineStr">
        <is>
          <t>Yes</t>
        </is>
      </c>
      <c r="E19" s="48" t="inlineStr">
        <is>
          <t>Used for simple or complex questions in the active catalogue.</t>
        </is>
      </c>
    </row>
    <row r="20">
      <c r="A20" s="48" t="inlineStr">
        <is>
          <t>tbl_risk_impact</t>
        </is>
      </c>
      <c r="B20" s="48" t="inlineStr">
        <is>
          <t>Populated / not listed as empty</t>
        </is>
      </c>
      <c r="C20" s="48">
        <f>COUNTIF('Reorganized Questionnaire'!O:O,"*tbl_risk_impact*")</f>
        <v/>
      </c>
      <c r="D20" s="48" t="inlineStr">
        <is>
          <t>Yes</t>
        </is>
      </c>
      <c r="E20" s="48" t="inlineStr">
        <is>
          <t>Used for simple or complex questions in the active catalogue.</t>
        </is>
      </c>
    </row>
    <row r="21">
      <c r="A21" s="48" t="inlineStr">
        <is>
          <t>tbl_risk_priority</t>
        </is>
      </c>
      <c r="B21" s="48" t="inlineStr">
        <is>
          <t>Populated / not listed as empty</t>
        </is>
      </c>
      <c r="C21" s="48">
        <f>COUNTIF('Reorganized Questionnaire'!O:O,"*tbl_risk_priority*")</f>
        <v/>
      </c>
      <c r="D21" s="48" t="inlineStr">
        <is>
          <t>Yes</t>
        </is>
      </c>
      <c r="E21" s="48" t="inlineStr">
        <is>
          <t>Used for simple or complex questions in the active catalogue.</t>
        </is>
      </c>
    </row>
    <row r="22">
      <c r="A22" s="48" t="inlineStr">
        <is>
          <t>tbl_risk_history</t>
        </is>
      </c>
      <c r="B22" s="48" t="inlineStr">
        <is>
          <t>Populated / not listed as empty</t>
        </is>
      </c>
      <c r="C22" s="48">
        <f>COUNTIF('Reorganized Questionnaire'!O:O,"*tbl_risk_history*")</f>
        <v/>
      </c>
      <c r="D22" s="48" t="inlineStr">
        <is>
          <t>Yes</t>
        </is>
      </c>
      <c r="E22" s="48" t="inlineStr">
        <is>
          <t>Used for simple or complex questions in the active catalogue.</t>
        </is>
      </c>
    </row>
    <row r="23">
      <c r="A23" s="48" t="inlineStr">
        <is>
          <t>tbl_project_executive_summary</t>
        </is>
      </c>
      <c r="B23" s="48" t="inlineStr">
        <is>
          <t>Populated / not listed as empty</t>
        </is>
      </c>
      <c r="C23" s="48">
        <f>COUNTIF('Reorganized Questionnaire'!O:O,"*tbl_project_executive_summary*")</f>
        <v/>
      </c>
      <c r="D23" s="48" t="inlineStr">
        <is>
          <t>Yes</t>
        </is>
      </c>
      <c r="E23" s="48" t="inlineStr">
        <is>
          <t>Used for simple or complex questions in the active catalogue.</t>
        </is>
      </c>
    </row>
    <row r="24">
      <c r="A24" s="48" t="inlineStr">
        <is>
          <t>tbl_project_users_log</t>
        </is>
      </c>
      <c r="B24" s="48" t="inlineStr">
        <is>
          <t>Populated / not listed as empty</t>
        </is>
      </c>
      <c r="C24" s="48">
        <f>COUNTIF('Reorganized Questionnaire'!O:O,"*tbl_project_users_log*")</f>
        <v/>
      </c>
      <c r="D24" s="48" t="inlineStr">
        <is>
          <t>Yes</t>
        </is>
      </c>
      <c r="E24" s="48" t="inlineStr">
        <is>
          <t>Used for simple or complex questions in the active catalogue.</t>
        </is>
      </c>
    </row>
    <row r="25">
      <c r="A25" s="48" t="n"/>
      <c r="B25" s="48" t="n"/>
      <c r="C25" s="48" t="n"/>
      <c r="D25" s="48" t="n"/>
      <c r="E25" s="48" t="n"/>
    </row>
    <row r="26">
      <c r="A26" s="54" t="inlineStr">
        <is>
          <t>PMS tables currently empty and excluded/deferred</t>
        </is>
      </c>
      <c r="B26" s="48" t="n"/>
      <c r="C26" s="48" t="n"/>
      <c r="D26" s="48" t="n"/>
      <c r="E26" s="48" t="n"/>
    </row>
    <row r="27">
      <c r="A27" s="48" t="inlineStr">
        <is>
          <t>tbl_estimation_asumption</t>
        </is>
      </c>
      <c r="B27" s="52" t="inlineStr">
        <is>
          <t>Empty</t>
        </is>
      </c>
      <c r="C27" s="48" t="n">
        <v>1</v>
      </c>
      <c r="D27" s="48" t="inlineStr">
        <is>
          <t>No, unless a populated alternative exists</t>
        </is>
      </c>
      <c r="E27" s="48" t="inlineStr">
        <is>
          <t>Blocks 1 mapped SQL queries (0 rows)</t>
        </is>
      </c>
    </row>
    <row r="28">
      <c r="A28" s="48" t="inlineStr">
        <is>
          <t>tbl_estimation_deliverables</t>
        </is>
      </c>
      <c r="B28" s="52" t="inlineStr">
        <is>
          <t>Empty</t>
        </is>
      </c>
      <c r="C28" s="48" t="n">
        <v>0</v>
      </c>
      <c r="D28" s="48" t="inlineStr">
        <is>
          <t>No, unless a populated alternative exists</t>
        </is>
      </c>
      <c r="E28" s="48" t="inlineStr">
        <is>
          <t>PMS table — not referenced in questionnaire</t>
        </is>
      </c>
    </row>
    <row r="29">
      <c r="A29" s="48" t="inlineStr">
        <is>
          <t>tbl_estimation_risks</t>
        </is>
      </c>
      <c r="B29" s="52" t="inlineStr">
        <is>
          <t>Empty</t>
        </is>
      </c>
      <c r="C29" s="48" t="n">
        <v>1</v>
      </c>
      <c r="D29" s="48" t="inlineStr">
        <is>
          <t>No, unless a populated alternative exists</t>
        </is>
      </c>
      <c r="E29" s="48" t="inlineStr">
        <is>
          <t>Blocks 1 mapped SQL queries (0 rows)</t>
        </is>
      </c>
    </row>
    <row r="30">
      <c r="A30" s="48" t="inlineStr">
        <is>
          <t>tbl_estimation_summary</t>
        </is>
      </c>
      <c r="B30" s="52" t="inlineStr">
        <is>
          <t>Empty</t>
        </is>
      </c>
      <c r="C30" s="48" t="n">
        <v>1</v>
      </c>
      <c r="D30" s="48" t="inlineStr">
        <is>
          <t>No, unless a populated alternative exists</t>
        </is>
      </c>
      <c r="E30" s="48" t="inlineStr">
        <is>
          <t>Blocks 1 mapped SQL queries (0 rows)</t>
        </is>
      </c>
    </row>
    <row r="31">
      <c r="A31" s="48" t="inlineStr">
        <is>
          <t>tbl_group_task_income_var</t>
        </is>
      </c>
      <c r="B31" s="52" t="inlineStr">
        <is>
          <t>Empty</t>
        </is>
      </c>
      <c r="C31" s="48" t="n">
        <v>0</v>
      </c>
      <c r="D31" s="48" t="inlineStr">
        <is>
          <t>No, unless a populated alternative exists</t>
        </is>
      </c>
      <c r="E31" s="48" t="inlineStr">
        <is>
          <t>PMS table — not referenced in questionnaire</t>
        </is>
      </c>
    </row>
    <row r="32">
      <c r="A32" s="48" t="inlineStr">
        <is>
          <t>tbl_process_issue_analysis</t>
        </is>
      </c>
      <c r="B32" s="52" t="inlineStr">
        <is>
          <t>Empty</t>
        </is>
      </c>
      <c r="C32" s="48" t="n">
        <v>0</v>
      </c>
      <c r="D32" s="48" t="inlineStr">
        <is>
          <t>No, unless a populated alternative exists</t>
        </is>
      </c>
      <c r="E32" s="48" t="inlineStr">
        <is>
          <t>PMS table — not referenced in questionnaire</t>
        </is>
      </c>
    </row>
    <row r="33">
      <c r="A33" s="48" t="inlineStr">
        <is>
          <t>tbl_project_department</t>
        </is>
      </c>
      <c r="B33" s="52" t="inlineStr">
        <is>
          <t>Empty</t>
        </is>
      </c>
      <c r="C33" s="48" t="n">
        <v>1</v>
      </c>
      <c r="D33" s="48" t="inlineStr">
        <is>
          <t>No, unless a populated alternative exists</t>
        </is>
      </c>
      <c r="E33" s="48" t="inlineStr">
        <is>
          <t>Blocks 1 mapped SQL queries (0 rows)</t>
        </is>
      </c>
    </row>
    <row r="34">
      <c r="A34" s="48" t="inlineStr">
        <is>
          <t>tbl_project_documents</t>
        </is>
      </c>
      <c r="B34" s="52" t="inlineStr">
        <is>
          <t>Empty</t>
        </is>
      </c>
      <c r="C34" s="48" t="n">
        <v>0</v>
      </c>
      <c r="D34" s="48" t="inlineStr">
        <is>
          <t>No, unless a populated alternative exists</t>
        </is>
      </c>
      <c r="E34" s="48" t="inlineStr">
        <is>
          <t>PMS table — not referenced in questionnaire</t>
        </is>
      </c>
    </row>
    <row r="35">
      <c r="A35" s="48" t="inlineStr">
        <is>
          <t>tbl_project_estimation</t>
        </is>
      </c>
      <c r="B35" s="52" t="inlineStr">
        <is>
          <t>Empty</t>
        </is>
      </c>
      <c r="C35" s="48" t="n">
        <v>5</v>
      </c>
      <c r="D35" s="48" t="inlineStr">
        <is>
          <t>No, unless a populated alternative exists</t>
        </is>
      </c>
      <c r="E35" s="48" t="inlineStr">
        <is>
          <t>Blocks 5 mapped SQL queries (0 rows)</t>
        </is>
      </c>
    </row>
    <row r="36">
      <c r="A36" s="48" t="inlineStr">
        <is>
          <t>tbl_project_estimation_audit_trails</t>
        </is>
      </c>
      <c r="B36" s="52" t="inlineStr">
        <is>
          <t>Empty</t>
        </is>
      </c>
      <c r="C36" s="48" t="n">
        <v>0</v>
      </c>
      <c r="D36" s="48" t="inlineStr">
        <is>
          <t>No, unless a populated alternative exists</t>
        </is>
      </c>
      <c r="E36" s="48" t="inlineStr">
        <is>
          <t>PMS table — not referenced in questionnaire</t>
        </is>
      </c>
    </row>
    <row r="37">
      <c r="A37" s="48" t="inlineStr">
        <is>
          <t>tbl_project_estimation_lineitem_map</t>
        </is>
      </c>
      <c r="B37" s="52" t="inlineStr">
        <is>
          <t>Empty</t>
        </is>
      </c>
      <c r="C37" s="48" t="n">
        <v>0</v>
      </c>
      <c r="D37" s="48" t="inlineStr">
        <is>
          <t>No, unless a populated alternative exists</t>
        </is>
      </c>
      <c r="E37" s="48" t="inlineStr">
        <is>
          <t>PMS table — not referenced in questionnaire</t>
        </is>
      </c>
    </row>
    <row r="38">
      <c r="A38" s="48" t="inlineStr">
        <is>
          <t>tbl_project_initiation_records</t>
        </is>
      </c>
      <c r="B38" s="52" t="inlineStr">
        <is>
          <t>Empty</t>
        </is>
      </c>
      <c r="C38" s="48" t="n">
        <v>0</v>
      </c>
      <c r="D38" s="48" t="inlineStr">
        <is>
          <t>No, unless a populated alternative exists</t>
        </is>
      </c>
      <c r="E38" s="48" t="inlineStr">
        <is>
          <t>PMS table — not referenced in questionnaire</t>
        </is>
      </c>
    </row>
    <row r="39">
      <c r="A39" s="48" t="inlineStr">
        <is>
          <t>tbl_project_issue_move_history</t>
        </is>
      </c>
      <c r="B39" s="52" t="inlineStr">
        <is>
          <t>Empty</t>
        </is>
      </c>
      <c r="C39" s="48" t="n">
        <v>0</v>
      </c>
      <c r="D39" s="48" t="inlineStr">
        <is>
          <t>No, unless a populated alternative exists</t>
        </is>
      </c>
      <c r="E39" s="48" t="inlineStr">
        <is>
          <t>PMS table — not referenced in questionnaire</t>
        </is>
      </c>
    </row>
    <row r="40">
      <c r="A40" s="48" t="inlineStr">
        <is>
          <t>tbl_project_issue_views</t>
        </is>
      </c>
      <c r="B40" s="52" t="inlineStr">
        <is>
          <t>Empty</t>
        </is>
      </c>
      <c r="C40" s="48" t="n">
        <v>0</v>
      </c>
      <c r="D40" s="48" t="inlineStr">
        <is>
          <t>No, unless a populated alternative exists</t>
        </is>
      </c>
      <c r="E40" s="48" t="inlineStr">
        <is>
          <t>PMS table — not referenced in questionnaire</t>
        </is>
      </c>
    </row>
    <row r="41">
      <c r="A41" s="48" t="inlineStr">
        <is>
          <t>tbl_project_priority</t>
        </is>
      </c>
      <c r="B41" s="52" t="inlineStr">
        <is>
          <t>Empty</t>
        </is>
      </c>
      <c r="C41" s="48" t="n">
        <v>1</v>
      </c>
      <c r="D41" s="48" t="inlineStr">
        <is>
          <t>No, unless a populated alternative exists</t>
        </is>
      </c>
      <c r="E41" s="48" t="inlineStr">
        <is>
          <t>Blocks 1 mapped SQL queries (0 rows)</t>
        </is>
      </c>
    </row>
    <row r="42">
      <c r="A42" s="48" t="inlineStr">
        <is>
          <t>tbl_project_process_issue</t>
        </is>
      </c>
      <c r="B42" s="52" t="inlineStr">
        <is>
          <t>Empty</t>
        </is>
      </c>
      <c r="C42" s="48" t="n">
        <v>0</v>
      </c>
      <c r="D42" s="48" t="inlineStr">
        <is>
          <t>No, unless a populated alternative exists</t>
        </is>
      </c>
      <c r="E42" s="48" t="inlineStr">
        <is>
          <t>PMS table — not referenced in questionnaire</t>
        </is>
      </c>
    </row>
    <row r="43">
      <c r="A43" s="48" t="inlineStr">
        <is>
          <t>tbl_project_rca_users</t>
        </is>
      </c>
      <c r="B43" s="52" t="inlineStr">
        <is>
          <t>Empty</t>
        </is>
      </c>
      <c r="C43" s="48" t="n">
        <v>0</v>
      </c>
      <c r="D43" s="48" t="inlineStr">
        <is>
          <t>No, unless a populated alternative exists</t>
        </is>
      </c>
      <c r="E43" s="48" t="inlineStr">
        <is>
          <t>PMS table — not referenced in questionnaire</t>
        </is>
      </c>
    </row>
    <row r="44">
      <c r="A44" s="48" t="inlineStr">
        <is>
          <t>tbl_project_risk</t>
        </is>
      </c>
      <c r="B44" s="52" t="inlineStr">
        <is>
          <t>Empty</t>
        </is>
      </c>
      <c r="C44" s="48" t="n">
        <v>0</v>
      </c>
      <c r="D44" s="48" t="inlineStr">
        <is>
          <t>No, unless a populated alternative exists</t>
        </is>
      </c>
      <c r="E44" s="48" t="inlineStr">
        <is>
          <t>PMS table — not referenced in questionnaire</t>
        </is>
      </c>
    </row>
    <row r="45">
      <c r="A45" s="48" t="inlineStr">
        <is>
          <t>tbl_project_risk_status</t>
        </is>
      </c>
      <c r="B45" s="52" t="inlineStr">
        <is>
          <t>Empty</t>
        </is>
      </c>
      <c r="C45" s="48" t="n">
        <v>0</v>
      </c>
      <c r="D45" s="48" t="inlineStr">
        <is>
          <t>No, unless a populated alternative exists</t>
        </is>
      </c>
      <c r="E45" s="48" t="inlineStr">
        <is>
          <t>PMS table — not referenced in questionnaire</t>
        </is>
      </c>
    </row>
    <row r="46">
      <c r="A46" s="48" t="inlineStr">
        <is>
          <t>tbl_project_sponsors</t>
        </is>
      </c>
      <c r="B46" s="52" t="inlineStr">
        <is>
          <t>Empty</t>
        </is>
      </c>
      <c r="C46" s="48" t="n">
        <v>0</v>
      </c>
      <c r="D46" s="48" t="inlineStr">
        <is>
          <t>No, unless a populated alternative exists</t>
        </is>
      </c>
      <c r="E46" s="48" t="inlineStr">
        <is>
          <t>PMS table — not referenced in questionnaire</t>
        </is>
      </c>
    </row>
    <row r="47">
      <c r="A47" s="48" t="inlineStr">
        <is>
          <t>tbl_project_status_history</t>
        </is>
      </c>
      <c r="B47" s="52" t="inlineStr">
        <is>
          <t>Empty</t>
        </is>
      </c>
      <c r="C47" s="48" t="n">
        <v>1</v>
      </c>
      <c r="D47" s="48" t="inlineStr">
        <is>
          <t>No, unless a populated alternative exists</t>
        </is>
      </c>
      <c r="E47" s="48" t="inlineStr">
        <is>
          <t>Referenced by 1 unmapped questions</t>
        </is>
      </c>
    </row>
    <row r="48">
      <c r="A48" s="48" t="inlineStr">
        <is>
          <t>tbl_project_task_milestone</t>
        </is>
      </c>
      <c r="B48" s="52" t="inlineStr">
        <is>
          <t>Empty</t>
        </is>
      </c>
      <c r="C48" s="48" t="n">
        <v>7</v>
      </c>
      <c r="D48" s="48" t="inlineStr">
        <is>
          <t>No, unless a populated alternative exists</t>
        </is>
      </c>
      <c r="E48" s="48" t="inlineStr">
        <is>
          <t>Blocks 6 mapped SQL queries (0 rows)</t>
        </is>
      </c>
    </row>
    <row r="49">
      <c r="A49" s="48" t="inlineStr">
        <is>
          <t>tbl_project_task_milestone_mapping</t>
        </is>
      </c>
      <c r="B49" s="52" t="inlineStr">
        <is>
          <t>Empty</t>
        </is>
      </c>
      <c r="C49" s="48" t="n">
        <v>6</v>
      </c>
      <c r="D49" s="48" t="inlineStr">
        <is>
          <t>No, unless a populated alternative exists</t>
        </is>
      </c>
      <c r="E49" s="48" t="inlineStr">
        <is>
          <t>Blocks 6 mapped SQL queries (0 rows)</t>
        </is>
      </c>
    </row>
    <row r="50">
      <c r="A50" s="48" t="inlineStr">
        <is>
          <t>tbl_project_task_views</t>
        </is>
      </c>
      <c r="B50" s="52" t="inlineStr">
        <is>
          <t>Empty</t>
        </is>
      </c>
      <c r="C50" s="48" t="n">
        <v>0</v>
      </c>
      <c r="D50" s="48" t="inlineStr">
        <is>
          <t>No, unless a populated alternative exists</t>
        </is>
      </c>
      <c r="E50" s="48" t="inlineStr">
        <is>
          <t>PMS table — not referenced in questionnaire</t>
        </is>
      </c>
    </row>
    <row r="51">
      <c r="A51" s="48" t="inlineStr">
        <is>
          <t>tbl_project_team</t>
        </is>
      </c>
      <c r="B51" s="52" t="inlineStr">
        <is>
          <t>Empty</t>
        </is>
      </c>
      <c r="C51" s="48" t="n">
        <v>2</v>
      </c>
      <c r="D51" s="48" t="inlineStr">
        <is>
          <t>No, unless a populated alternative exists</t>
        </is>
      </c>
      <c r="E51" s="48" t="inlineStr">
        <is>
          <t>Blocks 1 mapped SQL queries (0 rows)</t>
        </is>
      </c>
    </row>
    <row r="52">
      <c r="A52" s="48" t="inlineStr">
        <is>
          <t>tbl_risk_action</t>
        </is>
      </c>
      <c r="B52" s="52" t="inlineStr">
        <is>
          <t>Empty</t>
        </is>
      </c>
      <c r="C52" s="48" t="n">
        <v>0</v>
      </c>
      <c r="D52" s="48" t="inlineStr">
        <is>
          <t>No, unless a populated alternative exists</t>
        </is>
      </c>
      <c r="E52" s="48" t="inlineStr">
        <is>
          <t>PMS table — not referenced in questionnaire</t>
        </is>
      </c>
    </row>
    <row r="53">
      <c r="A53" s="48" t="inlineStr">
        <is>
          <t>tbl_risk_mitigation_actions</t>
        </is>
      </c>
      <c r="B53" s="52" t="inlineStr">
        <is>
          <t>Empty</t>
        </is>
      </c>
      <c r="C53" s="48" t="n">
        <v>0</v>
      </c>
      <c r="D53" s="48" t="inlineStr">
        <is>
          <t>No, unless a populated alternative exists</t>
        </is>
      </c>
      <c r="E53" s="48" t="inlineStr">
        <is>
          <t>PMS table — not referenced in questionnaire</t>
        </is>
      </c>
    </row>
    <row r="54">
      <c r="A54" s="48" t="inlineStr">
        <is>
          <t>tbl_risk_update</t>
        </is>
      </c>
      <c r="B54" s="52" t="inlineStr">
        <is>
          <t>Empty</t>
        </is>
      </c>
      <c r="C54" s="48" t="n">
        <v>1</v>
      </c>
      <c r="D54" s="48" t="inlineStr">
        <is>
          <t>No, unless a populated alternative exists</t>
        </is>
      </c>
      <c r="E54" s="48" t="inlineStr">
        <is>
          <t>Blocks 1 mapped SQL queries (0 rows)</t>
        </is>
      </c>
    </row>
    <row r="55">
      <c r="A55" s="48" t="inlineStr">
        <is>
          <t>tbl_task_insights</t>
        </is>
      </c>
      <c r="B55" s="52" t="inlineStr">
        <is>
          <t>Empty</t>
        </is>
      </c>
      <c r="C55" s="48" t="n">
        <v>0</v>
      </c>
      <c r="D55" s="48" t="inlineStr">
        <is>
          <t>No, unless a populated alternative exists</t>
        </is>
      </c>
      <c r="E55" s="48" t="inlineStr">
        <is>
          <t>PMS table — not referenced in questionnaire</t>
        </is>
      </c>
    </row>
    <row r="56">
      <c r="A56" s="48" t="inlineStr">
        <is>
          <t>tbl_weekly_issue_status</t>
        </is>
      </c>
      <c r="B56" s="52" t="inlineStr">
        <is>
          <t>Empty</t>
        </is>
      </c>
      <c r="C56" s="48" t="n">
        <v>1</v>
      </c>
      <c r="D56" s="48" t="inlineStr">
        <is>
          <t>No, unless a populated alternative exists</t>
        </is>
      </c>
      <c r="E56" s="48" t="inlineStr">
        <is>
          <t>Blocks 1 mapped SQL queries (0 rows)</t>
        </is>
      </c>
    </row>
    <row r="57">
      <c r="A57" s="48" t="inlineStr">
        <is>
          <t>tbl_weekly_task_status</t>
        </is>
      </c>
      <c r="B57" s="52" t="inlineStr">
        <is>
          <t>Empty</t>
        </is>
      </c>
      <c r="C57" s="48" t="n">
        <v>1</v>
      </c>
      <c r="D57" s="48" t="inlineStr">
        <is>
          <t>No, unless a populated alternative exists</t>
        </is>
      </c>
      <c r="E57" s="48" t="inlineStr">
        <is>
          <t>Blocks 1 mapped SQL queries (0 rows)</t>
        </is>
      </c>
    </row>
    <row r="58">
      <c r="A58" s="48" t="inlineStr">
        <is>
          <t>tbl_weekly_ticket_status</t>
        </is>
      </c>
      <c r="B58" s="52" t="inlineStr">
        <is>
          <t>Empty</t>
        </is>
      </c>
      <c r="C58" s="48" t="n">
        <v>0</v>
      </c>
      <c r="D58" s="48" t="inlineStr">
        <is>
          <t>No, unless a populated alternative exists</t>
        </is>
      </c>
      <c r="E58" s="48" t="inlineStr">
        <is>
          <t>PMS table — not referenced in questionnaire</t>
        </is>
      </c>
    </row>
    <row r="59">
      <c r="A59" s="48" t="inlineStr">
        <is>
          <t>temp_all_task</t>
        </is>
      </c>
      <c r="B59" s="52" t="inlineStr">
        <is>
          <t>Empty</t>
        </is>
      </c>
      <c r="C59" s="48" t="n">
        <v>0</v>
      </c>
      <c r="D59" s="48" t="inlineStr">
        <is>
          <t>No, unless a populated alternative exists</t>
        </is>
      </c>
      <c r="E59" s="48" t="inlineStr">
        <is>
          <t>PMS table — not referenced in questionnaire</t>
        </is>
      </c>
    </row>
  </sheetData>
  <autoFilter ref="A1:E59"/>
  <mergeCells count="1">
    <mergeCell ref="A26:E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R1000"/>
  <sheetViews>
    <sheetView workbookViewId="0">
      <selection activeCell="A1" sqref="A1"/>
    </sheetView>
  </sheetViews>
  <sheetFormatPr baseColWidth="8" defaultColWidth="12.63" defaultRowHeight="15.75" customHeight="1"/>
  <cols>
    <col width="5.25" customWidth="1" style="38" min="1" max="1"/>
    <col width="18" customWidth="1" style="38" min="2" max="2"/>
    <col width="28.38" customWidth="1" style="38" min="3" max="3"/>
    <col width="26.38" customWidth="1" style="38" min="4" max="4"/>
    <col width="38.25" customWidth="1" style="38" min="5" max="5"/>
    <col width="32.5" customWidth="1" style="38" min="6" max="6"/>
    <col width="27" customWidth="1" style="38" min="7" max="7"/>
    <col width="15" customWidth="1" style="38" min="8" max="8"/>
    <col width="37.25" customWidth="1" style="38" min="9" max="9"/>
    <col width="35.25" customWidth="1" style="38" min="10" max="10"/>
    <col width="36.63" customWidth="1" style="38" min="11" max="11"/>
    <col width="32.38" customWidth="1" style="38" min="12" max="13"/>
    <col width="38.13" customWidth="1" style="38" min="14" max="14"/>
    <col width="46.88" customWidth="1" style="38" min="15" max="15"/>
  </cols>
  <sheetData>
    <row r="1">
      <c r="A1" s="2" t="inlineStr">
        <is>
          <t>S.No</t>
        </is>
      </c>
      <c r="B1" s="2" t="inlineStr">
        <is>
          <t>PMS Area</t>
        </is>
      </c>
      <c r="C1" s="2" t="inlineStr">
        <is>
          <t>Canonical Intent</t>
        </is>
      </c>
      <c r="D1" s="2" t="inlineStr">
        <is>
          <t>Primary Question</t>
        </is>
      </c>
      <c r="E1" s="2" t="inlineStr">
        <is>
          <t>Alternative Phrasing 1</t>
        </is>
      </c>
      <c r="F1" s="2" t="inlineStr">
        <is>
          <t>Alternative Phrasing 2</t>
        </is>
      </c>
      <c r="G1" s="2" t="inlineStr">
        <is>
          <t>Required Entities / Parameters</t>
        </is>
      </c>
      <c r="H1" s="2" t="inlineStr">
        <is>
          <t>Schema Support</t>
        </is>
      </c>
      <c r="I1" s="2" t="inlineStr">
        <is>
          <t>Relevant Schema Objects</t>
        </is>
      </c>
      <c r="J1" s="2" t="inlineStr">
        <is>
          <t>Query Mapping Status</t>
        </is>
      </c>
      <c r="K1" s="2" t="inlineStr">
        <is>
          <t>Clarification / Mapping Notes</t>
        </is>
      </c>
      <c r="L1" s="2" t="inlineStr">
        <is>
          <t>SQL Query (MySQL Template)</t>
        </is>
      </c>
      <c r="M1" s="2" t="inlineStr">
        <is>
          <t>SQL VERIFIED STATUS (PMS DB)</t>
        </is>
      </c>
      <c r="N1" s="2" t="inlineStr">
        <is>
          <t>SQL Mapping Result</t>
        </is>
      </c>
      <c r="O1" s="2" t="inlineStr">
        <is>
          <t>Comment</t>
        </is>
      </c>
      <c r="P1" s="5" t="inlineStr">
        <is>
          <t>Empty Tables Referenced</t>
        </is>
      </c>
      <c r="Q1" s="5" t="inlineStr">
        <is>
          <t>Data Availability</t>
        </is>
      </c>
      <c r="R1" s="5" t="inlineStr">
        <is>
          <t>NL2SQL Readiness</t>
        </is>
      </c>
    </row>
    <row r="2">
      <c r="A2" s="6" t="n">
        <v>1</v>
      </c>
      <c r="B2" s="15" t="inlineStr">
        <is>
          <t>Projects</t>
        </is>
      </c>
      <c r="C2" s="15" t="inlineStr">
        <is>
          <t>my_active_projects</t>
        </is>
      </c>
      <c r="D2" s="15" t="inlineStr">
        <is>
          <t>What are my active projects?</t>
        </is>
      </c>
      <c r="E2" s="15" t="inlineStr">
        <is>
          <t>Show the projects I am currently working on.</t>
        </is>
      </c>
      <c r="F2" s="15" t="inlineStr">
        <is>
          <t>List my ongoing projects.</t>
        </is>
      </c>
      <c r="G2" s="15" t="inlineStr">
        <is>
          <t>current_user</t>
        </is>
      </c>
      <c r="H2" s="15" t="inlineStr">
        <is>
          <t>Direct</t>
        </is>
      </c>
      <c r="I2" s="15" t="inlineStr">
        <is>
          <t>tbl_projects; tbl_project_users</t>
        </is>
      </c>
      <c r="J2" s="15" t="inlineStr">
        <is>
          <t>Not Mapped – Business Rule Required</t>
        </is>
      </c>
      <c r="K2" s="15" t="inlineStr">
        <is>
          <t>Define whether “my” includes member, PM, owner, or task assignee.</t>
        </is>
      </c>
      <c r="L2" s="16" t="inlineStr">
        <is>
          <t>SELECT DISTINCT
    p.project_id,
    p.project_unique_id,
    p.project_key,
    p.title,
    p.start_date,
    p.end_date,
    ps.status_name,
    st.stage_name,
    p.priority,
    p.rag
FROM tbl_projects p
JOIN tbl_project_users pu
    ON p.project_id = pu.project_id
LEFT JOIN tbl_project_status ps
    ON ps.status_id = p.project_status_id
LEFT JOIN tbl_project_stages st
    ON st.stage_id = p.project_stage_id
WHERE pu.user_id = 3066
  AND pu.request_status = 'A'
  AND pu.status = 1
  AND p.status = 1
  AND p.archive = 0
ORDER BY p.title ASC</t>
        </is>
      </c>
      <c r="M2" s="15" t="inlineStr">
        <is>
          <t>Verified</t>
        </is>
      </c>
      <c r="N2" s="15" t="inlineStr">
        <is>
          <t>Not mapped: “my” and “active” scope are not defined (member, PM, owner, assignee; accepted/current-date/status filters).</t>
        </is>
      </c>
      <c r="O2" s="15" t="n"/>
      <c r="P2" s="15" t="inlineStr">
        <is>
          <t>—</t>
        </is>
      </c>
      <c r="Q2" s="15" t="inlineStr">
        <is>
          <t>N/A</t>
        </is>
      </c>
      <c r="R2" s="15" t="inlineStr">
        <is>
          <t>Blocked — Business Rule / Schema Gap</t>
        </is>
      </c>
    </row>
    <row r="3">
      <c r="A3" s="6" t="n">
        <v>2</v>
      </c>
      <c r="B3" s="15" t="inlineStr">
        <is>
          <t>Projects</t>
        </is>
      </c>
      <c r="C3" s="15" t="inlineStr">
        <is>
          <t>projects_managed_by_me</t>
        </is>
      </c>
      <c r="D3" s="15" t="inlineStr">
        <is>
          <t>Which projects am I managing?</t>
        </is>
      </c>
      <c r="E3" s="15" t="inlineStr">
        <is>
          <t>Show projects where I am the project manager.</t>
        </is>
      </c>
      <c r="F3" s="15" t="inlineStr">
        <is>
          <t>List projects managed by me.</t>
        </is>
      </c>
      <c r="G3" s="15" t="inlineStr">
        <is>
          <t>current_user</t>
        </is>
      </c>
      <c r="H3" s="15" t="inlineStr">
        <is>
          <t>Direct</t>
        </is>
      </c>
      <c r="I3" s="15" t="inlineStr">
        <is>
          <t>tbl_projects.pm_user_id</t>
        </is>
      </c>
      <c r="J3" s="15" t="inlineStr">
        <is>
          <t>Mapped – Direct Schema</t>
        </is>
      </c>
      <c r="K3" s="15" t="inlineStr">
        <is>
          <t>Use PM field; confirm whether project_owner_id also counts.</t>
        </is>
      </c>
      <c r="L3" s="15" t="inlineStr">
        <is>
          <t>SELECT p.project_id, p.project_unique_id, p.project_key, p.title, p.start_date, p.end_date, ps.status_name, st.stage_name, p.priority, p.rag FROM tbl_projects p LEFT JOIN tbl_project_status ps ON ps.status_id = p.project_status_id LEFT JOIN tbl_project_stages st ON st.stage_id = p.project_stage_id WHERE p.pm_user_id = :current_user_id AND p.status = 1 AND p.archive = 0 ORDER BY p.end_date, p.title;</t>
        </is>
      </c>
      <c r="M3" s="15" t="inlineStr">
        <is>
          <t>Pending</t>
        </is>
      </c>
      <c r="N3" s="15" t="inlineStr">
        <is>
          <t>Mapped from schema</t>
        </is>
      </c>
      <c r="O3" s="16" t="n"/>
      <c r="P3" s="15" t="inlineStr">
        <is>
          <t>—</t>
        </is>
      </c>
      <c r="Q3" s="15" t="inlineStr">
        <is>
          <t>Data Available</t>
        </is>
      </c>
      <c r="R3" s="15" t="inlineStr">
        <is>
          <t>Ready for Verification</t>
        </is>
      </c>
    </row>
    <row r="4">
      <c r="A4" s="6" t="n">
        <v>3</v>
      </c>
      <c r="B4" s="15" t="inlineStr">
        <is>
          <t>Projects</t>
        </is>
      </c>
      <c r="C4" s="15" t="inlineStr">
        <is>
          <t>projects_owned_by_me</t>
        </is>
      </c>
      <c r="D4" s="15" t="inlineStr">
        <is>
          <t>Which projects do I own?</t>
        </is>
      </c>
      <c r="E4" s="15" t="inlineStr">
        <is>
          <t>Show projects where I am the owner.</t>
        </is>
      </c>
      <c r="F4" s="15" t="inlineStr">
        <is>
          <t>List projects owned by me.</t>
        </is>
      </c>
      <c r="G4" s="15" t="inlineStr">
        <is>
          <t>current_user</t>
        </is>
      </c>
      <c r="H4" s="15" t="inlineStr">
        <is>
          <t>Direct</t>
        </is>
      </c>
      <c r="I4" s="15" t="inlineStr">
        <is>
          <t>tbl_projects.project_owner_id</t>
        </is>
      </c>
      <c r="J4" s="15" t="inlineStr">
        <is>
          <t>Mapped – Direct Schema</t>
        </is>
      </c>
      <c r="K4" s="15" t="inlineStr">
        <is>
          <t>Distinct from project manager.</t>
        </is>
      </c>
      <c r="L4" s="15" t="inlineStr">
        <is>
          <t>SELECT p.project_id, p.project_unique_id, p.project_key, p.title, p.start_date, p.end_date, ps.status_name, st.stage_name, p.priority, p.rag FROM tbl_projects p LEFT JOIN tbl_project_status ps ON ps.status_id = p.project_status_id LEFT JOIN tbl_project_stages st ON st.stage_id = p.project_stage_id WHERE p.project_owner_id = :current_user_id AND p.status = 1 AND p.archive = 0 ORDER BY p.end_date, p.title;</t>
        </is>
      </c>
      <c r="M4" s="15" t="inlineStr">
        <is>
          <t>Pending</t>
        </is>
      </c>
      <c r="N4" s="15" t="inlineStr">
        <is>
          <t>Mapped from schema</t>
        </is>
      </c>
      <c r="O4" s="16" t="n"/>
      <c r="P4" s="15" t="inlineStr">
        <is>
          <t>—</t>
        </is>
      </c>
      <c r="Q4" s="15" t="inlineStr">
        <is>
          <t>Data Available</t>
        </is>
      </c>
      <c r="R4" s="15" t="inlineStr">
        <is>
          <t>Ready for Verification</t>
        </is>
      </c>
    </row>
    <row r="5">
      <c r="A5" s="6" t="n">
        <v>4</v>
      </c>
      <c r="B5" s="15" t="inlineStr">
        <is>
          <t>Projects</t>
        </is>
      </c>
      <c r="C5" s="15" t="inlineStr">
        <is>
          <t>project_details</t>
        </is>
      </c>
      <c r="D5" s="15" t="inlineStr">
        <is>
          <t>Show details of project :project_name.</t>
        </is>
      </c>
      <c r="E5" s="15" t="inlineStr">
        <is>
          <t>Give me the project information for :project_name.</t>
        </is>
      </c>
      <c r="F5" s="15" t="inlineStr">
        <is>
          <t>Open the summary of :project_name.</t>
        </is>
      </c>
      <c r="G5" s="15" t="inlineStr">
        <is>
          <t>project_name</t>
        </is>
      </c>
      <c r="H5" s="15" t="inlineStr">
        <is>
          <t>Direct</t>
        </is>
      </c>
      <c r="I5" s="15" t="inlineStr">
        <is>
          <t>tbl_projects</t>
        </is>
      </c>
      <c r="J5" s="15" t="inlineStr">
        <is>
          <t>Not Mapped – Schema Ambiguous</t>
        </is>
      </c>
      <c r="K5" s="15" t="inlineStr">
        <is>
          <t>Project-name matching and duplicate-title handling required.</t>
        </is>
      </c>
      <c r="L5" s="16" t="n"/>
      <c r="M5" s="15" t="inlineStr">
        <is>
          <t>Pending</t>
        </is>
      </c>
      <c r="N5" s="15" t="inlineStr">
        <is>
          <t>Not mapped: project title may not be unique; preferred identifier must be confirmed.</t>
        </is>
      </c>
      <c r="O5" s="15" t="inlineStr">
        <is>
          <t xml:space="preserve"> tbl_projects.project_unique_id
Instead of project name it may ask the PF Id</t>
        </is>
      </c>
      <c r="P5" s="15" t="inlineStr">
        <is>
          <t>—</t>
        </is>
      </c>
      <c r="Q5" s="15" t="inlineStr">
        <is>
          <t>N/A</t>
        </is>
      </c>
      <c r="R5" s="15" t="inlineStr">
        <is>
          <t>Blocked — Business Rule / Schema Gap</t>
        </is>
      </c>
    </row>
    <row r="6">
      <c r="A6" s="6" t="n">
        <v>5</v>
      </c>
      <c r="B6" s="15" t="inlineStr">
        <is>
          <t>Projects</t>
        </is>
      </c>
      <c r="C6" s="15" t="inlineStr">
        <is>
          <t>project_status</t>
        </is>
      </c>
      <c r="D6" s="15" t="inlineStr">
        <is>
          <t>What is the status of project :project_name?</t>
        </is>
      </c>
      <c r="E6" s="15" t="inlineStr">
        <is>
          <t>Show the current status of :project_name.</t>
        </is>
      </c>
      <c r="F6" s="15" t="inlineStr">
        <is>
          <t>Is :project_name active or completed?</t>
        </is>
      </c>
      <c r="G6" s="15" t="inlineStr">
        <is>
          <t>project_name</t>
        </is>
      </c>
      <c r="H6" s="15" t="inlineStr">
        <is>
          <t>Direct</t>
        </is>
      </c>
      <c r="I6" s="15" t="inlineStr">
        <is>
          <t>tbl_projects; tbl_project_status</t>
        </is>
      </c>
      <c r="J6" s="15" t="inlineStr">
        <is>
          <t>Mapped – Direct Schema</t>
        </is>
      </c>
      <c r="K6" s="15" t="inlineStr">
        <is>
          <t>Lookup master data required.</t>
        </is>
      </c>
      <c r="L6" s="15" t="inlineStr">
        <is>
          <t>SELECT p.project_id, p.project_key, p.title, p.project_status_id, ps.status_name, ps.color_code FROM tbl_projects p LEFT JOIN tbl_project_status ps ON ps.status_id = p.project_status_id WHERE p.title = :project_name AND p.status = 1 AND p.archive = 0 ORDER BY p.project_id;</t>
        </is>
      </c>
      <c r="M6" s="15" t="inlineStr">
        <is>
          <t>Pending</t>
        </is>
      </c>
      <c r="N6" s="15" t="inlineStr">
        <is>
          <t>Mapped from schema</t>
        </is>
      </c>
      <c r="O6" s="16" t="n"/>
      <c r="P6" s="15" t="inlineStr">
        <is>
          <t>—</t>
        </is>
      </c>
      <c r="Q6" s="15" t="inlineStr">
        <is>
          <t>Data Available</t>
        </is>
      </c>
      <c r="R6" s="15" t="inlineStr">
        <is>
          <t>Ready for Verification</t>
        </is>
      </c>
    </row>
    <row r="7">
      <c r="A7" s="6" t="n">
        <v>6</v>
      </c>
      <c r="B7" s="15" t="inlineStr">
        <is>
          <t>Projects</t>
        </is>
      </c>
      <c r="C7" s="15" t="inlineStr">
        <is>
          <t>project_stage</t>
        </is>
      </c>
      <c r="D7" s="15" t="inlineStr">
        <is>
          <t>What stage is :project_name in?</t>
        </is>
      </c>
      <c r="E7" s="15" t="inlineStr">
        <is>
          <t>Show the current stage of :project_name.</t>
        </is>
      </c>
      <c r="F7" s="15" t="inlineStr">
        <is>
          <t>Which delivery stage has :project_name reached?</t>
        </is>
      </c>
      <c r="G7" s="15" t="inlineStr">
        <is>
          <t>project_name</t>
        </is>
      </c>
      <c r="H7" s="15" t="inlineStr">
        <is>
          <t>Direct</t>
        </is>
      </c>
      <c r="I7" s="15" t="inlineStr">
        <is>
          <t>tbl_projects; tbl_project_stages</t>
        </is>
      </c>
      <c r="J7" s="15" t="inlineStr">
        <is>
          <t>Mapped – Direct Schema</t>
        </is>
      </c>
      <c r="K7" s="15" t="inlineStr">
        <is>
          <t>Lookup master data required.</t>
        </is>
      </c>
      <c r="L7" s="15" t="inlineStr">
        <is>
          <t>SELECT p.project_id, p.project_key, p.title, p.project_stage_id, st.stage_name, st.color_code FROM tbl_projects p LEFT JOIN tbl_project_stages st ON st.stage_id = p.project_stage_id WHERE p.title = :project_name AND p.status = 1 AND p.archive = 0 ORDER BY p.project_id;</t>
        </is>
      </c>
      <c r="M7" s="15" t="inlineStr">
        <is>
          <t>Pending</t>
        </is>
      </c>
      <c r="N7" s="15" t="inlineStr">
        <is>
          <t>Mapped from schema</t>
        </is>
      </c>
      <c r="O7" s="16" t="n"/>
      <c r="P7" s="15" t="inlineStr">
        <is>
          <t>—</t>
        </is>
      </c>
      <c r="Q7" s="15" t="inlineStr">
        <is>
          <t>Data Available</t>
        </is>
      </c>
      <c r="R7" s="15" t="inlineStr">
        <is>
          <t>Ready for Verification</t>
        </is>
      </c>
    </row>
    <row r="8">
      <c r="A8" s="6" t="n">
        <v>7</v>
      </c>
      <c r="B8" s="15" t="inlineStr">
        <is>
          <t>Projects</t>
        </is>
      </c>
      <c r="C8" s="15" t="inlineStr">
        <is>
          <t>project_rag</t>
        </is>
      </c>
      <c r="D8" s="15" t="inlineStr">
        <is>
          <t>What is the RAG status of :project_name?</t>
        </is>
      </c>
      <c r="E8" s="15" t="inlineStr">
        <is>
          <t>Show the health colour of :project_name.</t>
        </is>
      </c>
      <c r="F8" s="15" t="inlineStr">
        <is>
          <t>Is :project_name red, amber, or green?</t>
        </is>
      </c>
      <c r="G8" s="15" t="inlineStr">
        <is>
          <t>project_name</t>
        </is>
      </c>
      <c r="H8" s="15" t="inlineStr">
        <is>
          <t>Direct</t>
        </is>
      </c>
      <c r="I8" s="15" t="inlineStr">
        <is>
          <t>tbl_projects.rag</t>
        </is>
      </c>
      <c r="J8" s="15" t="inlineStr">
        <is>
          <t>Mapped – Direct Schema</t>
        </is>
      </c>
      <c r="K8" s="15" t="inlineStr">
        <is>
          <t>Confirm stored values and meaning.</t>
        </is>
      </c>
      <c r="L8" s="15" t="inlineStr">
        <is>
          <t>SELECT p.project_id, p.project_key, p.title, p.rag FROM tbl_projects p WHERE p.title = :project_name AND p.status = 1 AND p.archive = 0 ORDER BY p.project_id;</t>
        </is>
      </c>
      <c r="M8" s="15" t="inlineStr">
        <is>
          <t>Pending</t>
        </is>
      </c>
      <c r="N8" s="15" t="inlineStr">
        <is>
          <t>Mapped from schema</t>
        </is>
      </c>
      <c r="O8" s="16" t="n"/>
      <c r="P8" s="15" t="inlineStr">
        <is>
          <t>—</t>
        </is>
      </c>
      <c r="Q8" s="15" t="inlineStr">
        <is>
          <t>Data Available</t>
        </is>
      </c>
      <c r="R8" s="15" t="inlineStr">
        <is>
          <t>Ready for Verification</t>
        </is>
      </c>
    </row>
    <row r="9">
      <c r="A9" s="27" t="n">
        <v>8</v>
      </c>
      <c r="B9" s="23" t="inlineStr">
        <is>
          <t>Projects</t>
        </is>
      </c>
      <c r="C9" s="23" t="inlineStr">
        <is>
          <t>project_priority</t>
        </is>
      </c>
      <c r="D9" s="23" t="inlineStr">
        <is>
          <t>What is the priority of :project_name?</t>
        </is>
      </c>
      <c r="E9" s="23" t="inlineStr">
        <is>
          <t>Show the priority assigned to :project_name.</t>
        </is>
      </c>
      <c r="F9" s="23" t="inlineStr">
        <is>
          <t>Is :project_name high priority?</t>
        </is>
      </c>
      <c r="G9" s="23" t="inlineStr">
        <is>
          <t>project_name</t>
        </is>
      </c>
      <c r="H9" s="23" t="inlineStr">
        <is>
          <t>Direct</t>
        </is>
      </c>
      <c r="I9" s="23" t="inlineStr">
        <is>
          <t>tbl_projects.priority; tbl_project_priority</t>
        </is>
      </c>
      <c r="J9" s="23" t="inlineStr">
        <is>
          <t>Mapped – Direct Schema</t>
        </is>
      </c>
      <c r="K9" s="23" t="inlineStr">
        <is>
          <t>Confirm whether priority stores ID or text.</t>
        </is>
      </c>
      <c r="L9" s="23" t="inlineStr">
        <is>
          <t>SELECT p.project_id, p.project_key, p.title, p.priority AS priority_id, pp.priority_name, pp.priority_order FROM tbl_projects p LEFT JOIN tbl_project_priority pp ON pp.priority_id = p.priority WHERE p.title = :project_name AND p.status = 1 AND p.archive = 0 ORDER BY p.project_id;</t>
        </is>
      </c>
      <c r="M9" s="23" t="inlineStr">
        <is>
          <t>Pending</t>
        </is>
      </c>
      <c r="N9" s="23" t="inlineStr">
        <is>
          <t>Mapped from schema</t>
        </is>
      </c>
      <c r="O9" s="22" t="n"/>
      <c r="P9" s="23" t="inlineStr">
        <is>
          <t>tbl_project_priority</t>
        </is>
      </c>
      <c r="Q9" s="23" t="inlineStr">
        <is>
          <t>Partial (Lookup Empty)</t>
        </is>
      </c>
      <c r="R9" s="23" t="inlineStr">
        <is>
          <t>Degraded — Priority Label NULL</t>
        </is>
      </c>
    </row>
    <row r="10">
      <c r="A10" s="6" t="n">
        <v>9</v>
      </c>
      <c r="B10" s="15" t="inlineStr">
        <is>
          <t>Projects</t>
        </is>
      </c>
      <c r="C10" s="15" t="inlineStr">
        <is>
          <t>projects_starting_period</t>
        </is>
      </c>
      <c r="D10" s="15" t="inlineStr">
        <is>
          <t>Which projects start between :start_date and :end_date?</t>
        </is>
      </c>
      <c r="E10" s="15" t="inlineStr">
        <is>
          <t>Show projects beginning in the selected period.</t>
        </is>
      </c>
      <c r="F10" s="15" t="inlineStr">
        <is>
          <t>List upcoming project starts.</t>
        </is>
      </c>
      <c r="G10" s="15" t="inlineStr">
        <is>
          <t>start_date, end_date</t>
        </is>
      </c>
      <c r="H10" s="15" t="inlineStr">
        <is>
          <t>Direct</t>
        </is>
      </c>
      <c r="I10" s="15" t="inlineStr">
        <is>
          <t>tbl_projects.start_date</t>
        </is>
      </c>
      <c r="J10" s="15" t="inlineStr">
        <is>
          <t>Mapped – Direct Schema</t>
        </is>
      </c>
      <c r="K10" s="15" t="inlineStr">
        <is>
          <t>Date boundaries to be inclusive.</t>
        </is>
      </c>
      <c r="L10" s="15" t="inlineStr">
        <is>
          <t>SELECT p.project_id, p.project_key, p.title, p.start_date, p.end_date, ps.status_name, p.rag FROM tbl_projects p LEFT JOIN tbl_project_status ps ON ps.status_id = p.project_status_id WHERE p.start_date &gt;= :start_date AND p.start_date &lt; DATE_ADD(:end_date, INTERVAL 1 DAY) AND p.status = 1 AND p.archive = 0 ORDER BY p.start_date, p.title;</t>
        </is>
      </c>
      <c r="M10" s="15" t="inlineStr">
        <is>
          <t>Pending</t>
        </is>
      </c>
      <c r="N10" s="15" t="inlineStr">
        <is>
          <t>Mapped from schema</t>
        </is>
      </c>
      <c r="O10" s="16" t="n"/>
      <c r="P10" s="15" t="inlineStr">
        <is>
          <t>—</t>
        </is>
      </c>
      <c r="Q10" s="15" t="inlineStr">
        <is>
          <t>Data Available</t>
        </is>
      </c>
      <c r="R10" s="15" t="inlineStr">
        <is>
          <t>Ready for Verification</t>
        </is>
      </c>
    </row>
    <row r="11">
      <c r="A11" s="6" t="n">
        <v>10</v>
      </c>
      <c r="B11" s="15" t="inlineStr">
        <is>
          <t>Projects</t>
        </is>
      </c>
      <c r="C11" s="15" t="inlineStr">
        <is>
          <t>projects_ending_period</t>
        </is>
      </c>
      <c r="D11" s="15" t="inlineStr">
        <is>
          <t>Which projects end between :start_date and :end_date?</t>
        </is>
      </c>
      <c r="E11" s="15" t="inlineStr">
        <is>
          <t>Show projects scheduled to finish in the selected period.</t>
        </is>
      </c>
      <c r="F11" s="15" t="inlineStr">
        <is>
          <t>List upcoming project end dates.</t>
        </is>
      </c>
      <c r="G11" s="15" t="inlineStr">
        <is>
          <t>start_date, end_date</t>
        </is>
      </c>
      <c r="H11" s="15" t="inlineStr">
        <is>
          <t>Direct</t>
        </is>
      </c>
      <c r="I11" s="15" t="inlineStr">
        <is>
          <t>tbl_projects.end_date</t>
        </is>
      </c>
      <c r="J11" s="15" t="inlineStr">
        <is>
          <t>Mapped – Direct Schema</t>
        </is>
      </c>
      <c r="K11" s="15" t="inlineStr">
        <is>
          <t>Date boundaries to be inclusive.</t>
        </is>
      </c>
      <c r="L11" s="15" t="inlineStr">
        <is>
          <t>SELECT p.project_id, p.project_key, p.title, p.start_date, p.end_date, ps.status_name, p.rag FROM tbl_projects p LEFT JOIN tbl_project_status ps ON ps.status_id = p.project_status_id WHERE p.end_date &gt;= :start_date AND p.end_date &lt; DATE_ADD(:end_date, INTERVAL 1 DAY) AND p.status = 1 AND p.archive = 0 ORDER BY p.end_date, p.title;</t>
        </is>
      </c>
      <c r="M11" s="15" t="inlineStr">
        <is>
          <t>Pending</t>
        </is>
      </c>
      <c r="N11" s="15" t="inlineStr">
        <is>
          <t>Mapped from schema</t>
        </is>
      </c>
      <c r="O11" s="16" t="n"/>
      <c r="P11" s="15" t="inlineStr">
        <is>
          <t>—</t>
        </is>
      </c>
      <c r="Q11" s="15" t="inlineStr">
        <is>
          <t>Data Available</t>
        </is>
      </c>
      <c r="R11" s="15" t="inlineStr">
        <is>
          <t>Ready for Verification</t>
        </is>
      </c>
    </row>
    <row r="12">
      <c r="A12" s="6" t="n">
        <v>11</v>
      </c>
      <c r="B12" s="15" t="inlineStr">
        <is>
          <t>Projects</t>
        </is>
      </c>
      <c r="C12" s="15" t="inlineStr">
        <is>
          <t>overdue_projects</t>
        </is>
      </c>
      <c r="D12" s="15" t="inlineStr">
        <is>
          <t>Which projects are overdue?</t>
        </is>
      </c>
      <c r="E12" s="15" t="inlineStr">
        <is>
          <t>Show active projects past their end date.</t>
        </is>
      </c>
      <c r="F12" s="15" t="inlineStr">
        <is>
          <t>List delayed projects.</t>
        </is>
      </c>
      <c r="G12" s="15" t="inlineStr">
        <is>
          <t>as_of_date</t>
        </is>
      </c>
      <c r="H12" s="15" t="inlineStr">
        <is>
          <t>Derived</t>
        </is>
      </c>
      <c r="I12" s="15" t="inlineStr">
        <is>
          <t>tbl_projects.end_date; tbl_project_status</t>
        </is>
      </c>
      <c r="J12" s="15" t="inlineStr">
        <is>
          <t>Not Applicable – Non-Direct Support</t>
        </is>
      </c>
      <c r="K12" s="15" t="inlineStr">
        <is>
          <t>Define which project statuses are considered open.</t>
        </is>
      </c>
      <c r="L12" s="16" t="n"/>
      <c r="M12" s="15" t="inlineStr">
        <is>
          <t>Pending</t>
        </is>
      </c>
      <c r="N12" s="15" t="inlineStr">
        <is>
          <t>Not applicable: schema support is not Direct.</t>
        </is>
      </c>
      <c r="O12" s="15" t="inlineStr">
        <is>
          <t>If tbl_projects.status==1</t>
        </is>
      </c>
      <c r="P12" s="15" t="inlineStr">
        <is>
          <t>—</t>
        </is>
      </c>
      <c r="Q12" s="15" t="inlineStr">
        <is>
          <t>N/A</t>
        </is>
      </c>
      <c r="R12" s="15" t="inlineStr">
        <is>
          <t>Blocked — Business Rule / Schema Gap</t>
        </is>
      </c>
    </row>
    <row r="13">
      <c r="A13" s="24" t="n">
        <v>12</v>
      </c>
      <c r="B13" s="25" t="inlineStr">
        <is>
          <t>Projects</t>
        </is>
      </c>
      <c r="C13" s="25" t="inlineStr">
        <is>
          <t>projects_by_department</t>
        </is>
      </c>
      <c r="D13" s="25" t="inlineStr">
        <is>
          <t>Show projects for department :department_name.</t>
        </is>
      </c>
      <c r="E13" s="25" t="inlineStr">
        <is>
          <t>List active projects owned by :department_name.</t>
        </is>
      </c>
      <c r="F13" s="25" t="inlineStr">
        <is>
          <t>Which projects belong to :department_name?</t>
        </is>
      </c>
      <c r="G13" s="25" t="inlineStr">
        <is>
          <t>department_name</t>
        </is>
      </c>
      <c r="H13" s="25" t="inlineStr">
        <is>
          <t>Direct</t>
        </is>
      </c>
      <c r="I13" s="25" t="inlineStr">
        <is>
          <t>tbl_projects.department_id; tbl_project_department</t>
        </is>
      </c>
      <c r="J13" s="25" t="inlineStr">
        <is>
          <t>Mapped – Direct Schema</t>
        </is>
      </c>
      <c r="K13" s="25" t="inlineStr">
        <is>
          <t>Confirm active-only default.</t>
        </is>
      </c>
      <c r="L13" s="25" t="inlineStr">
        <is>
          <t>SELECT p.project_id, p.project_key, p.title, d.department_name, ps.status_name, p.start_date, p.end_date FROM tbl_projects p JOIN tbl_project_department d ON d.department_id = p.department_id LEFT JOIN tbl_project_status ps ON ps.status_id = p.project_status_id WHERE d.department_name = :department_name AND p.status = 1 AND p.archive = 0 ORDER BY p.title;</t>
        </is>
      </c>
      <c r="M13" s="25" t="inlineStr">
        <is>
          <t>Pending</t>
        </is>
      </c>
      <c r="N13" s="25" t="inlineStr">
        <is>
          <t>Mapped from schema</t>
        </is>
      </c>
      <c r="O13" s="26" t="n"/>
      <c r="P13" s="25" t="inlineStr">
        <is>
          <t>tbl_project_department</t>
        </is>
      </c>
      <c r="Q13" s="25" t="inlineStr">
        <is>
          <t>No Data (Table Empty)</t>
        </is>
      </c>
      <c r="R13" s="25" t="inlineStr">
        <is>
          <t>Dead — Department Not Populated</t>
        </is>
      </c>
    </row>
    <row r="14">
      <c r="A14" s="24" t="n">
        <v>13</v>
      </c>
      <c r="B14" s="25" t="inlineStr">
        <is>
          <t>Projects</t>
        </is>
      </c>
      <c r="C14" s="25" t="inlineStr">
        <is>
          <t>projects_by_team</t>
        </is>
      </c>
      <c r="D14" s="25" t="inlineStr">
        <is>
          <t>Show projects for team :team_name.</t>
        </is>
      </c>
      <c r="E14" s="25" t="inlineStr">
        <is>
          <t>List projects assigned to :team_name.</t>
        </is>
      </c>
      <c r="F14" s="25" t="inlineStr">
        <is>
          <t>Which projects belong to :team_name?</t>
        </is>
      </c>
      <c r="G14" s="25" t="inlineStr">
        <is>
          <t>team_name</t>
        </is>
      </c>
      <c r="H14" s="25" t="inlineStr">
        <is>
          <t>Direct</t>
        </is>
      </c>
      <c r="I14" s="25" t="inlineStr">
        <is>
          <t>tbl_projects.team_id; tbl_project_team</t>
        </is>
      </c>
      <c r="J14" s="25" t="inlineStr">
        <is>
          <t>Mapped – Direct Schema</t>
        </is>
      </c>
      <c r="K14" s="25" t="inlineStr">
        <is>
          <t>Confirm team hierarchy handling.</t>
        </is>
      </c>
      <c r="L14" s="25" t="inlineStr">
        <is>
          <t>SELECT p.project_id, p.project_key, p.title, t.team_name, ps.status_name, p.start_date, p.end_date FROM tbl_projects p JOIN tbl_project_team t ON t.team_id = p.team_id LEFT JOIN tbl_project_status ps ON ps.status_id = p.project_status_id WHERE t.team_name = :team_name AND p.status = 1 AND p.archive = 0 ORDER BY p.title;</t>
        </is>
      </c>
      <c r="M14" s="25" t="inlineStr">
        <is>
          <t>Pending</t>
        </is>
      </c>
      <c r="N14" s="25" t="inlineStr">
        <is>
          <t>Mapped from schema</t>
        </is>
      </c>
      <c r="O14" s="26" t="n"/>
      <c r="P14" s="25" t="inlineStr">
        <is>
          <t>tbl_project_team</t>
        </is>
      </c>
      <c r="Q14" s="25" t="inlineStr">
        <is>
          <t>No Data (Table Empty)</t>
        </is>
      </c>
      <c r="R14" s="25" t="inlineStr">
        <is>
          <t>Dead — Team Not Populated</t>
        </is>
      </c>
    </row>
    <row r="15">
      <c r="A15" s="6" t="n">
        <v>14</v>
      </c>
      <c r="B15" s="15" t="inlineStr">
        <is>
          <t>Projects</t>
        </is>
      </c>
      <c r="C15" s="15" t="inlineStr">
        <is>
          <t>projects_by_type</t>
        </is>
      </c>
      <c r="D15" s="15" t="inlineStr">
        <is>
          <t>Show projects of type :project_type.</t>
        </is>
      </c>
      <c r="E15" s="15" t="inlineStr">
        <is>
          <t>List :project_type projects.</t>
        </is>
      </c>
      <c r="F15" s="15" t="inlineStr">
        <is>
          <t>Which projects use project type :project_type?</t>
        </is>
      </c>
      <c r="G15" s="15" t="inlineStr">
        <is>
          <t>project_type</t>
        </is>
      </c>
      <c r="H15" s="15" t="inlineStr">
        <is>
          <t>Direct</t>
        </is>
      </c>
      <c r="I15" s="15" t="inlineStr">
        <is>
          <t>tbl_projects.project_type_id; tbl_project_types</t>
        </is>
      </c>
      <c r="J15" s="15" t="inlineStr">
        <is>
          <t>Mapped – Direct Schema</t>
        </is>
      </c>
      <c r="K15" s="15" t="inlineStr">
        <is>
          <t>Lookup values required.</t>
        </is>
      </c>
      <c r="L15" s="15" t="inlineStr">
        <is>
          <t>SELECT p.project_id, p.project_key, p.title, pt.project_type, ps.status_name, p.start_date, p.end_date FROM tbl_projects p JOIN tbl_project_types pt ON pt.project_type_id = p.project_type_id LEFT JOIN tbl_project_status ps ON ps.status_id = p.project_status_id WHERE pt.project_type = :project_type AND p.status = 1 AND p.archive = 0 ORDER BY p.title;</t>
        </is>
      </c>
      <c r="M15" s="15" t="inlineStr">
        <is>
          <t>Pending</t>
        </is>
      </c>
      <c r="N15" s="15" t="inlineStr">
        <is>
          <t>Mapped from schema</t>
        </is>
      </c>
      <c r="O15" s="16" t="n"/>
      <c r="P15" s="15" t="inlineStr">
        <is>
          <t>—</t>
        </is>
      </c>
      <c r="Q15" s="15" t="inlineStr">
        <is>
          <t>Data Available</t>
        </is>
      </c>
      <c r="R15" s="15" t="inlineStr">
        <is>
          <t>Ready for Verification</t>
        </is>
      </c>
    </row>
    <row r="16">
      <c r="A16" s="6" t="n">
        <v>15</v>
      </c>
      <c r="B16" s="15" t="inlineStr">
        <is>
          <t>Projects</t>
        </is>
      </c>
      <c r="C16" s="15" t="inlineStr">
        <is>
          <t>projects_by_client</t>
        </is>
      </c>
      <c r="D16" s="15" t="inlineStr">
        <is>
          <t>Show projects for client :client_name.</t>
        </is>
      </c>
      <c r="E16" s="15" t="inlineStr">
        <is>
          <t>List projects associated with :client_name.</t>
        </is>
      </c>
      <c r="F16" s="15" t="inlineStr">
        <is>
          <t>Which projects belong to :client_name?</t>
        </is>
      </c>
      <c r="G16" s="15" t="inlineStr">
        <is>
          <t>client_name</t>
        </is>
      </c>
      <c r="H16" s="15" t="inlineStr">
        <is>
          <t>Partial</t>
        </is>
      </c>
      <c r="I16" s="15" t="inlineStr">
        <is>
          <t>tbl_projects.client_id</t>
        </is>
      </c>
      <c r="J16" s="15" t="inlineStr">
        <is>
          <t>Not Applicable – Non-Direct Support</t>
        </is>
      </c>
      <c r="K16" s="15" t="inlineStr">
        <is>
          <t>Client master table must be confirmed.</t>
        </is>
      </c>
      <c r="L16" s="16" t="n"/>
      <c r="M16" s="15" t="inlineStr">
        <is>
          <t>Pending</t>
        </is>
      </c>
      <c r="N16" s="15" t="inlineStr">
        <is>
          <t>Not applicable: schema support is not Direct.</t>
        </is>
      </c>
      <c r="O16" s="15" t="inlineStr">
        <is>
          <t xml:space="preserve">
tbl_projects.client_id=tbl_clients.id
</t>
        </is>
      </c>
      <c r="P16" s="15" t="inlineStr">
        <is>
          <t>—</t>
        </is>
      </c>
      <c r="Q16" s="15" t="inlineStr">
        <is>
          <t>N/A</t>
        </is>
      </c>
      <c r="R16" s="15" t="inlineStr">
        <is>
          <t>Blocked — Business Rule / Schema Gap</t>
        </is>
      </c>
    </row>
    <row r="17">
      <c r="A17" s="6" t="n">
        <v>16</v>
      </c>
      <c r="B17" s="15" t="inlineStr">
        <is>
          <t>Projects</t>
        </is>
      </c>
      <c r="C17" s="15" t="inlineStr">
        <is>
          <t>project_team_size</t>
        </is>
      </c>
      <c r="D17" s="15" t="inlineStr">
        <is>
          <t>How many active users are allocated to :project_name?</t>
        </is>
      </c>
      <c r="E17" s="15" t="inlineStr">
        <is>
          <t>Show the team size of :project_name.</t>
        </is>
      </c>
      <c r="F17" s="15" t="inlineStr">
        <is>
          <t>How many people are on :project_name?</t>
        </is>
      </c>
      <c r="G17" s="15" t="inlineStr">
        <is>
          <t>project_name</t>
        </is>
      </c>
      <c r="H17" s="15" t="inlineStr">
        <is>
          <t>Direct</t>
        </is>
      </c>
      <c r="I17" s="15" t="inlineStr">
        <is>
          <t>tbl_project_users</t>
        </is>
      </c>
      <c r="J17" s="15" t="inlineStr">
        <is>
          <t>Not Mapped – Business Rule Required</t>
        </is>
      </c>
      <c r="K17" s="15" t="inlineStr">
        <is>
          <t>Define active allocation and request_status filters.</t>
        </is>
      </c>
      <c r="L17" s="16" t="n"/>
      <c r="M17" s="15" t="inlineStr">
        <is>
          <t>Pending</t>
        </is>
      </c>
      <c r="N17" s="15" t="inlineStr">
        <is>
          <t>Not mapped: active allocation and request-status/date rules need confirmation.</t>
        </is>
      </c>
      <c r="O17" s="15" t="inlineStr">
        <is>
          <t>tbl_project_users.status=1</t>
        </is>
      </c>
      <c r="P17" s="15" t="inlineStr">
        <is>
          <t>—</t>
        </is>
      </c>
      <c r="Q17" s="15" t="inlineStr">
        <is>
          <t>N/A</t>
        </is>
      </c>
      <c r="R17" s="15" t="inlineStr">
        <is>
          <t>Blocked — Business Rule / Schema Gap</t>
        </is>
      </c>
    </row>
    <row r="18">
      <c r="A18" s="6" t="n">
        <v>17</v>
      </c>
      <c r="B18" s="15" t="inlineStr">
        <is>
          <t>Projects</t>
        </is>
      </c>
      <c r="C18" s="15" t="inlineStr">
        <is>
          <t>projects_without_pm</t>
        </is>
      </c>
      <c r="D18" s="15" t="inlineStr">
        <is>
          <t>Which projects do not have a project manager?</t>
        </is>
      </c>
      <c r="E18" s="15" t="inlineStr">
        <is>
          <t>Show projects with no PM assigned.</t>
        </is>
      </c>
      <c r="F18" s="15" t="inlineStr">
        <is>
          <t>List unowned PM assignments.</t>
        </is>
      </c>
      <c r="G18" s="15" t="inlineStr">
        <is>
          <t>none</t>
        </is>
      </c>
      <c r="H18" s="15" t="inlineStr">
        <is>
          <t>Direct</t>
        </is>
      </c>
      <c r="I18" s="15" t="inlineStr">
        <is>
          <t>tbl_projects.pm_user_id</t>
        </is>
      </c>
      <c r="J18" s="15" t="inlineStr">
        <is>
          <t>Mapped – Direct Schema</t>
        </is>
      </c>
      <c r="K18" s="15" t="inlineStr">
        <is>
          <t>Null and zero handling required.</t>
        </is>
      </c>
      <c r="L18" s="15" t="inlineStr">
        <is>
          <t>SELECT p.project_id, p.project_key, p.title, p.start_date, p.end_date, ps.status_name FROM tbl_projects p LEFT JOIN tbl_project_status ps ON ps.status_id = p.project_status_id WHERE p.pm_user_id IS NULL AND p.status = 1 AND p.archive = 0 ORDER BY p.title;</t>
        </is>
      </c>
      <c r="M18" s="15" t="inlineStr">
        <is>
          <t>Pending</t>
        </is>
      </c>
      <c r="N18" s="15" t="inlineStr">
        <is>
          <t>Mapped from schema</t>
        </is>
      </c>
      <c r="O18" s="16" t="n"/>
      <c r="P18" s="15" t="inlineStr">
        <is>
          <t>—</t>
        </is>
      </c>
      <c r="Q18" s="15" t="inlineStr">
        <is>
          <t>Data Available</t>
        </is>
      </c>
      <c r="R18" s="15" t="inlineStr">
        <is>
          <t>Ready for Verification</t>
        </is>
      </c>
    </row>
    <row r="19">
      <c r="A19" s="6" t="n">
        <v>18</v>
      </c>
      <c r="B19" s="15" t="inlineStr">
        <is>
          <t>Projects</t>
        </is>
      </c>
      <c r="C19" s="15" t="inlineStr">
        <is>
          <t>projects_without_members</t>
        </is>
      </c>
      <c r="D19" s="15" t="inlineStr">
        <is>
          <t>Which active projects have no allocated users?</t>
        </is>
      </c>
      <c r="E19" s="15" t="inlineStr">
        <is>
          <t>Show projects without team members.</t>
        </is>
      </c>
      <c r="F19" s="15" t="inlineStr">
        <is>
          <t>List active projects with an empty team.</t>
        </is>
      </c>
      <c r="G19" s="15" t="inlineStr">
        <is>
          <t>none</t>
        </is>
      </c>
      <c r="H19" s="15" t="inlineStr">
        <is>
          <t>Derived</t>
        </is>
      </c>
      <c r="I19" s="15" t="inlineStr">
        <is>
          <t>tbl_projects; tbl_project_users</t>
        </is>
      </c>
      <c r="J19" s="15" t="inlineStr">
        <is>
          <t>Not Applicable – Non-Direct Support</t>
        </is>
      </c>
      <c r="K19" s="15" t="inlineStr">
        <is>
          <t>Define active project and active membership.</t>
        </is>
      </c>
      <c r="L19" s="16" t="n"/>
      <c r="M19" s="15" t="inlineStr">
        <is>
          <t>Pending</t>
        </is>
      </c>
      <c r="N19" s="15" t="inlineStr">
        <is>
          <t>Not applicable: schema support is not Direct.</t>
        </is>
      </c>
      <c r="O19" s="15" t="inlineStr">
        <is>
          <t>If you want to exclude the PM/owner (ADMIN) from the member count — i.e., projects that have no PARTICIPANT members even if an ADMIN exists:
SELECT p.project_id, p.title, p.short_url, p.status, p.post_date
FROM tbl_projects p
LEFT JOIN tbl_project_user pu
    ON p.project_id = pu.project_id
    AND pu.status = 1
    AND pu.request_status = 'A'
    AND pu.access_type != 'ADMIN'
WHERE p.status = 1
AND pu.project_id IS NULL
ORDER BY p.title ASC</t>
        </is>
      </c>
      <c r="P19" s="15" t="inlineStr">
        <is>
          <t>—</t>
        </is>
      </c>
      <c r="Q19" s="15" t="inlineStr">
        <is>
          <t>N/A</t>
        </is>
      </c>
      <c r="R19" s="15" t="inlineStr">
        <is>
          <t>Blocked — Business Rule / Schema Gap</t>
        </is>
      </c>
    </row>
    <row r="20">
      <c r="A20" s="24" t="n">
        <v>19</v>
      </c>
      <c r="B20" s="25" t="inlineStr">
        <is>
          <t>Projects</t>
        </is>
      </c>
      <c r="C20" s="25" t="inlineStr">
        <is>
          <t>project_recent_changes</t>
        </is>
      </c>
      <c r="D20" s="25" t="inlineStr">
        <is>
          <t>What changed recently in :project_name?</t>
        </is>
      </c>
      <c r="E20" s="25" t="inlineStr">
        <is>
          <t>Show recent project updates for :project_name.</t>
        </is>
      </c>
      <c r="F20" s="25" t="inlineStr">
        <is>
          <t>List recent status changes for :project_name.</t>
        </is>
      </c>
      <c r="G20" s="25" t="inlineStr">
        <is>
          <t>project_name, lookback_days</t>
        </is>
      </c>
      <c r="H20" s="25" t="inlineStr">
        <is>
          <t>Partial</t>
        </is>
      </c>
      <c r="I20" s="25" t="inlineStr">
        <is>
          <t>tbl_project_status_history; tbl_project_users_log; audit tables</t>
        </is>
      </c>
      <c r="J20" s="25" t="inlineStr">
        <is>
          <t>Not Applicable – Non-Direct Support</t>
        </is>
      </c>
      <c r="K20" s="25" t="inlineStr">
        <is>
          <t>Clarify which audit sources count as project changes.</t>
        </is>
      </c>
      <c r="L20" s="26" t="n"/>
      <c r="M20" s="25" t="inlineStr">
        <is>
          <t>Pending</t>
        </is>
      </c>
      <c r="N20" s="25" t="inlineStr">
        <is>
          <t>Not applicable: schema support is not Direct.</t>
        </is>
      </c>
      <c r="O20" s="26" t="n"/>
      <c r="P20" s="25" t="inlineStr">
        <is>
          <t>tbl_project_status_history</t>
        </is>
      </c>
      <c r="Q20" s="25" t="inlineStr">
        <is>
          <t>No Data (Table Empty)</t>
        </is>
      </c>
      <c r="R20" s="25" t="inlineStr">
        <is>
          <t>Blocked — No Data + Business Rule</t>
        </is>
      </c>
    </row>
    <row r="21">
      <c r="A21" s="6" t="n">
        <v>20</v>
      </c>
      <c r="B21" s="15" t="inlineStr">
        <is>
          <t>Projects</t>
        </is>
      </c>
      <c r="C21" s="15" t="inlineStr">
        <is>
          <t>active_project_portfolio</t>
        </is>
      </c>
      <c r="D21" s="15" t="inlineStr">
        <is>
          <t>Give me a summary of active projects.</t>
        </is>
      </c>
      <c r="E21" s="15" t="inlineStr">
        <is>
          <t>Show active project counts by status and stage.</t>
        </is>
      </c>
      <c r="F21" s="15" t="inlineStr">
        <is>
          <t>Summarize the current project portfolio.</t>
        </is>
      </c>
      <c r="G21" s="15" t="inlineStr">
        <is>
          <t>current_user_scope</t>
        </is>
      </c>
      <c r="H21" s="15" t="inlineStr">
        <is>
          <t>Derived</t>
        </is>
      </c>
      <c r="I21" s="15" t="inlineStr">
        <is>
          <t>tbl_projects; status/stage masters</t>
        </is>
      </c>
      <c r="J21" s="15" t="inlineStr">
        <is>
          <t>Not Applicable – Non-Direct Support</t>
        </is>
      </c>
      <c r="K21" s="15" t="inlineStr">
        <is>
          <t>Define visibility scope and summary measures.</t>
        </is>
      </c>
      <c r="L21" s="16" t="n"/>
      <c r="M21" s="15" t="inlineStr">
        <is>
          <t>Pending</t>
        </is>
      </c>
      <c r="N21" s="15" t="inlineStr">
        <is>
          <t>Not applicable: schema support is not Direct.</t>
        </is>
      </c>
      <c r="O21" s="16" t="n"/>
      <c r="P21" s="15" t="inlineStr">
        <is>
          <t>—</t>
        </is>
      </c>
      <c r="Q21" s="15" t="inlineStr">
        <is>
          <t>N/A</t>
        </is>
      </c>
      <c r="R21" s="15" t="inlineStr">
        <is>
          <t>Blocked — Business Rule / Schema Gap</t>
        </is>
      </c>
    </row>
    <row r="22">
      <c r="A22" s="24" t="n">
        <v>21</v>
      </c>
      <c r="B22" s="25" t="inlineStr">
        <is>
          <t>Milestones</t>
        </is>
      </c>
      <c r="C22" s="25" t="inlineStr">
        <is>
          <t>project_milestones</t>
        </is>
      </c>
      <c r="D22" s="25" t="inlineStr">
        <is>
          <t>Show milestones for :project_name.</t>
        </is>
      </c>
      <c r="E22" s="25" t="inlineStr">
        <is>
          <t>List all milestones mapped to :project_name.</t>
        </is>
      </c>
      <c r="F22" s="25" t="inlineStr">
        <is>
          <t>What milestones exist for :project_name?</t>
        </is>
      </c>
      <c r="G22" s="25" t="inlineStr">
        <is>
          <t>project_name</t>
        </is>
      </c>
      <c r="H22" s="25" t="inlineStr">
        <is>
          <t>Direct</t>
        </is>
      </c>
      <c r="I22" s="25" t="inlineStr">
        <is>
          <t>tbl_project_task_milestone; tbl_project_task_milestone_mapping</t>
        </is>
      </c>
      <c r="J22" s="25" t="inlineStr">
        <is>
          <t>Mapped – Direct Schema</t>
        </is>
      </c>
      <c r="K22" s="25" t="inlineStr">
        <is>
          <t>Milestones are inferred through mapping table.</t>
        </is>
      </c>
      <c r="L22" s="25" t="inlineStr">
        <is>
          <t>SELECT DISTINCT m.milestone_id, m.milestone, m.start_date, m.end_date FROM tbl_project_task_milestone m JOIN tbl_project_task_milestone_mapping mm ON mm.milestone_id = m.milestone_id JOIN tbl_projects p ON p.project_id = mm.project_id WHERE p.title = :project_name ORDER BY m.end_date, m.milestone;</t>
        </is>
      </c>
      <c r="M22" s="25" t="inlineStr">
        <is>
          <t>Pending</t>
        </is>
      </c>
      <c r="N22" s="25" t="inlineStr">
        <is>
          <t>Mapped from schema</t>
        </is>
      </c>
      <c r="O22" s="26" t="n"/>
      <c r="P22" s="25" t="inlineStr">
        <is>
          <t>tbl_project_task_milestone, tbl_project_task_milestone_mapping</t>
        </is>
      </c>
      <c r="Q22" s="25" t="inlineStr">
        <is>
          <t>No Data (Table Empty)</t>
        </is>
      </c>
      <c r="R22" s="25" t="inlineStr">
        <is>
          <t>Dead — Milestone Module Unused</t>
        </is>
      </c>
    </row>
    <row r="23">
      <c r="A23" s="24" t="n">
        <v>22</v>
      </c>
      <c r="B23" s="25" t="inlineStr">
        <is>
          <t>Milestones</t>
        </is>
      </c>
      <c r="C23" s="25" t="inlineStr">
        <is>
          <t>upcoming_milestones</t>
        </is>
      </c>
      <c r="D23" s="25" t="inlineStr">
        <is>
          <t>Which milestones are due in the next :days days?</t>
        </is>
      </c>
      <c r="E23" s="25" t="inlineStr">
        <is>
          <t>Show upcoming milestone deadlines.</t>
        </is>
      </c>
      <c r="F23" s="25" t="inlineStr">
        <is>
          <t>List milestones ending soon.</t>
        </is>
      </c>
      <c r="G23" s="25" t="inlineStr">
        <is>
          <t>days</t>
        </is>
      </c>
      <c r="H23" s="25" t="inlineStr">
        <is>
          <t>Direct</t>
        </is>
      </c>
      <c r="I23" s="25" t="inlineStr">
        <is>
          <t>tbl_project_task_milestone.end_date</t>
        </is>
      </c>
      <c r="J23" s="25" t="inlineStr">
        <is>
          <t>Mapped – Direct Schema</t>
        </is>
      </c>
      <c r="K23" s="25" t="inlineStr">
        <is>
          <t>Confirm whether mapping dates override milestone dates.</t>
        </is>
      </c>
      <c r="L23" s="25" t="inlineStr">
        <is>
          <t>SELECT DISTINCT p.project_id, p.project_key, p.title AS project_title, m.milestone_id, m.milestone, m.start_date, m.end_date FROM tbl_project_task_milestone m JOIN tbl_project_task_milestone_mapping mm ON mm.milestone_id = m.milestone_id JOIN tbl_projects p ON p.project_id = mm.project_id WHERE m.end_date &gt;= CURRENT_DATE AND m.end_date &lt; DATE_ADD(CURRENT_DATE, INTERVAL :days + 1 DAY) AND p.status = 1 AND p.archive = 0 ORDER BY m.end_date, p.title;</t>
        </is>
      </c>
      <c r="M23" s="25" t="inlineStr">
        <is>
          <t>Pending</t>
        </is>
      </c>
      <c r="N23" s="25" t="inlineStr">
        <is>
          <t>Mapped from schema</t>
        </is>
      </c>
      <c r="O23" s="26" t="n"/>
      <c r="P23" s="25" t="inlineStr">
        <is>
          <t>tbl_project_task_milestone, tbl_project_task_milestone_mapping</t>
        </is>
      </c>
      <c r="Q23" s="25" t="inlineStr">
        <is>
          <t>No Data (Table Empty)</t>
        </is>
      </c>
      <c r="R23" s="25" t="inlineStr">
        <is>
          <t>Dead — Milestone Module Unused</t>
        </is>
      </c>
    </row>
    <row r="24">
      <c r="A24" s="24" t="n">
        <v>23</v>
      </c>
      <c r="B24" s="25" t="inlineStr">
        <is>
          <t>Milestones</t>
        </is>
      </c>
      <c r="C24" s="25" t="inlineStr">
        <is>
          <t>overdue_milestones</t>
        </is>
      </c>
      <c r="D24" s="25" t="inlineStr">
        <is>
          <t>Which milestones are overdue?</t>
        </is>
      </c>
      <c r="E24" s="25" t="inlineStr">
        <is>
          <t>Show milestones past their end date.</t>
        </is>
      </c>
      <c r="F24" s="25" t="inlineStr">
        <is>
          <t>List delayed milestones.</t>
        </is>
      </c>
      <c r="G24" s="25" t="inlineStr">
        <is>
          <t>as_of_date</t>
        </is>
      </c>
      <c r="H24" s="25" t="inlineStr">
        <is>
          <t>Derived</t>
        </is>
      </c>
      <c r="I24" s="25" t="inlineStr">
        <is>
          <t>tbl_project_task_milestone; mapping; tasks</t>
        </is>
      </c>
      <c r="J24" s="25" t="inlineStr">
        <is>
          <t>Not Applicable – Non-Direct Support</t>
        </is>
      </c>
      <c r="K24" s="25" t="inlineStr">
        <is>
          <t>No milestone status field; completion must be inferred from mapped tasks.</t>
        </is>
      </c>
      <c r="L24" s="26" t="n"/>
      <c r="M24" s="25" t="inlineStr">
        <is>
          <t>Pending</t>
        </is>
      </c>
      <c r="N24" s="25" t="inlineStr">
        <is>
          <t>Not applicable: schema support is not Direct.</t>
        </is>
      </c>
      <c r="O24" s="26" t="n"/>
      <c r="P24" s="25" t="inlineStr">
        <is>
          <t>tbl_project_task_milestone</t>
        </is>
      </c>
      <c r="Q24" s="25" t="inlineStr">
        <is>
          <t>No Data (Table Empty)</t>
        </is>
      </c>
      <c r="R24" s="25" t="inlineStr">
        <is>
          <t>Blocked — No Data + Business Rule</t>
        </is>
      </c>
    </row>
    <row r="25">
      <c r="A25" s="24" t="n">
        <v>24</v>
      </c>
      <c r="B25" s="25" t="inlineStr">
        <is>
          <t>Milestones</t>
        </is>
      </c>
      <c r="C25" s="25" t="inlineStr">
        <is>
          <t>next_project_milestone</t>
        </is>
      </c>
      <c r="D25" s="25" t="inlineStr">
        <is>
          <t>What is the next milestone for :project_name?</t>
        </is>
      </c>
      <c r="E25" s="25" t="inlineStr">
        <is>
          <t>Show the nearest upcoming milestone for :project_name.</t>
        </is>
      </c>
      <c r="F25" s="25" t="inlineStr">
        <is>
          <t>Which milestone comes next for :project_name?</t>
        </is>
      </c>
      <c r="G25" s="25" t="inlineStr">
        <is>
          <t>project_name</t>
        </is>
      </c>
      <c r="H25" s="25" t="inlineStr">
        <is>
          <t>Direct</t>
        </is>
      </c>
      <c r="I25" s="25" t="inlineStr">
        <is>
          <t>milestone tables</t>
        </is>
      </c>
      <c r="J25" s="25" t="inlineStr">
        <is>
          <t>Mapped – Direct Schema</t>
        </is>
      </c>
      <c r="K25" s="25" t="inlineStr">
        <is>
          <t>Use earliest future end date.</t>
        </is>
      </c>
      <c r="L25" s="25" t="inlineStr">
        <is>
          <t>SELECT DISTINCT m.milestone_id, m.milestone, m.start_date, m.end_date FROM tbl_project_task_milestone m JOIN tbl_project_task_milestone_mapping mm ON mm.milestone_id = m.milestone_id JOIN tbl_projects p ON p.project_id = mm.project_id WHERE p.title = :project_name AND m.end_date &gt;= CURRENT_DATE ORDER BY m.end_date LIMIT 1;</t>
        </is>
      </c>
      <c r="M25" s="25" t="inlineStr">
        <is>
          <t>Pending</t>
        </is>
      </c>
      <c r="N25" s="25" t="inlineStr">
        <is>
          <t>Mapped from schema</t>
        </is>
      </c>
      <c r="O25" s="26" t="n"/>
      <c r="P25" s="25" t="inlineStr">
        <is>
          <t>tbl_project_task_milestone, tbl_project_task_milestone_mapping</t>
        </is>
      </c>
      <c r="Q25" s="25" t="inlineStr">
        <is>
          <t>No Data (Table Empty)</t>
        </is>
      </c>
      <c r="R25" s="25" t="inlineStr">
        <is>
          <t>Dead — Milestone Module Unused</t>
        </is>
      </c>
    </row>
    <row r="26">
      <c r="A26" s="24" t="n">
        <v>25</v>
      </c>
      <c r="B26" s="25" t="inlineStr">
        <is>
          <t>Milestones</t>
        </is>
      </c>
      <c r="C26" s="25" t="inlineStr">
        <is>
          <t>milestone_tasks</t>
        </is>
      </c>
      <c r="D26" s="25" t="inlineStr">
        <is>
          <t>Which tasks belong to milestone :milestone_name?</t>
        </is>
      </c>
      <c r="E26" s="25" t="inlineStr">
        <is>
          <t>Show tasks mapped to :milestone_name.</t>
        </is>
      </c>
      <c r="F26" s="25" t="inlineStr">
        <is>
          <t>List the work items under :milestone_name.</t>
        </is>
      </c>
      <c r="G26" s="25" t="inlineStr">
        <is>
          <t>milestone_name, project_name</t>
        </is>
      </c>
      <c r="H26" s="25" t="inlineStr">
        <is>
          <t>Direct</t>
        </is>
      </c>
      <c r="I26" s="25" t="inlineStr">
        <is>
          <t>tbl_project_task_milestone_mapping; tbl_project_tasks</t>
        </is>
      </c>
      <c r="J26" s="25" t="inlineStr">
        <is>
          <t>Mapped – Direct Schema</t>
        </is>
      </c>
      <c r="K26" s="25" t="inlineStr">
        <is>
          <t>Project name may be required to disambiguate duplicate milestone names.</t>
        </is>
      </c>
      <c r="L26" s="25" t="inlineStr">
        <is>
          <t>SELECT p.project_id, p.title AS project_title, m.milestone_id, m.milestone, t.task_id, t.reference_no, t.title AS task_title, t.start_date, t.due_date, ts.status_name, t.percent_complete FROM tbl_project_task_milestone m JOIN tbl_project_task_milestone_mapping mm ON mm.milestone_id = m.milestone_id JOIN tbl_project_tasks t ON t.task_id = mm.task_id JOIN tbl_projects p ON p.project_id = mm.project_id LEFT JOIN tbl_project_task_status ts ON ts.task_status_id = t.task_status_id WHERE m.milestone = :milestone_name AND t.status = 1 AND t.archive = 0 ORDER BY p.title, t.due_date, t.reference_no;</t>
        </is>
      </c>
      <c r="M26" s="25" t="inlineStr">
        <is>
          <t>Pending</t>
        </is>
      </c>
      <c r="N26" s="25" t="inlineStr">
        <is>
          <t>Mapped from schema</t>
        </is>
      </c>
      <c r="O26" s="26" t="n"/>
      <c r="P26" s="25" t="inlineStr">
        <is>
          <t>tbl_project_task_milestone, tbl_project_task_milestone_mapping</t>
        </is>
      </c>
      <c r="Q26" s="25" t="inlineStr">
        <is>
          <t>No Data (Table Empty)</t>
        </is>
      </c>
      <c r="R26" s="25" t="inlineStr">
        <is>
          <t>Dead — Milestone Module Unused</t>
        </is>
      </c>
    </row>
    <row r="27">
      <c r="A27" s="6" t="n">
        <v>26</v>
      </c>
      <c r="B27" s="15" t="inlineStr">
        <is>
          <t>Milestones</t>
        </is>
      </c>
      <c r="C27" s="15" t="inlineStr">
        <is>
          <t>milestone_task_progress</t>
        </is>
      </c>
      <c r="D27" s="15" t="inlineStr">
        <is>
          <t>What is the task completion progress of milestone :milestone_name?</t>
        </is>
      </c>
      <c r="E27" s="15" t="inlineStr">
        <is>
          <t>How many milestone tasks are completed?</t>
        </is>
      </c>
      <c r="F27" s="15" t="inlineStr">
        <is>
          <t>Show completed versus open tasks for :milestone_name.</t>
        </is>
      </c>
      <c r="G27" s="15" t="inlineStr">
        <is>
          <t>milestone_name, project_name</t>
        </is>
      </c>
      <c r="H27" s="15" t="inlineStr">
        <is>
          <t>Derived</t>
        </is>
      </c>
      <c r="I27" s="15" t="inlineStr">
        <is>
          <t>mapping; tasks; task status</t>
        </is>
      </c>
      <c r="J27" s="15" t="inlineStr">
        <is>
          <t>Not Applicable – Non-Direct Support</t>
        </is>
      </c>
      <c r="K27" s="15" t="inlineStr">
        <is>
          <t>Define closed task statuses.</t>
        </is>
      </c>
      <c r="L27" s="16" t="n"/>
      <c r="M27" s="15" t="inlineStr">
        <is>
          <t>Pending</t>
        </is>
      </c>
      <c r="N27" s="15" t="inlineStr">
        <is>
          <t>Not applicable: schema support is not Direct.</t>
        </is>
      </c>
      <c r="O27" s="16" t="n"/>
      <c r="P27" s="15" t="inlineStr">
        <is>
          <t>—</t>
        </is>
      </c>
      <c r="Q27" s="15" t="inlineStr">
        <is>
          <t>N/A</t>
        </is>
      </c>
      <c r="R27" s="15" t="inlineStr">
        <is>
          <t>Blocked — Business Rule / Schema Gap</t>
        </is>
      </c>
    </row>
    <row r="28">
      <c r="A28" s="24" t="n">
        <v>27</v>
      </c>
      <c r="B28" s="25" t="inlineStr">
        <is>
          <t>Milestones</t>
        </is>
      </c>
      <c r="C28" s="25" t="inlineStr">
        <is>
          <t>milestones_without_tasks</t>
        </is>
      </c>
      <c r="D28" s="25" t="inlineStr">
        <is>
          <t>Which milestones have no mapped tasks?</t>
        </is>
      </c>
      <c r="E28" s="25" t="inlineStr">
        <is>
          <t>Show empty milestones.</t>
        </is>
      </c>
      <c r="F28" s="25" t="inlineStr">
        <is>
          <t>List milestones that are not linked to work items.</t>
        </is>
      </c>
      <c r="G28" s="25" t="inlineStr">
        <is>
          <t>none</t>
        </is>
      </c>
      <c r="H28" s="25" t="inlineStr">
        <is>
          <t>Direct</t>
        </is>
      </c>
      <c r="I28" s="25" t="inlineStr">
        <is>
          <t>milestone tables</t>
        </is>
      </c>
      <c r="J28" s="25" t="inlineStr">
        <is>
          <t>Mapped – Direct Schema</t>
        </is>
      </c>
      <c r="K28" s="25" t="inlineStr">
        <is>
          <t>Straight anti-join.</t>
        </is>
      </c>
      <c r="L28" s="25" t="inlineStr">
        <is>
          <t>SELECT m.milestone_id, m.milestone, m.start_date, m.end_date FROM tbl_project_task_milestone m LEFT JOIN tbl_project_task_milestone_mapping mm ON mm.milestone_id = m.milestone_id WHERE mm.task_id IS NULL ORDER BY m.end_date, m.milestone;</t>
        </is>
      </c>
      <c r="M28" s="25" t="inlineStr">
        <is>
          <t>Pending</t>
        </is>
      </c>
      <c r="N28" s="25" t="inlineStr">
        <is>
          <t>Mapped from schema</t>
        </is>
      </c>
      <c r="O28" s="26" t="n"/>
      <c r="P28" s="25" t="inlineStr">
        <is>
          <t>tbl_project_task_milestone, tbl_project_task_milestone_mapping</t>
        </is>
      </c>
      <c r="Q28" s="25" t="inlineStr">
        <is>
          <t>No Data (Table Empty)</t>
        </is>
      </c>
      <c r="R28" s="25" t="inlineStr">
        <is>
          <t>Dead — Milestone Module Unused</t>
        </is>
      </c>
    </row>
    <row r="29">
      <c r="A29" s="6" t="n">
        <v>28</v>
      </c>
      <c r="B29" s="15" t="inlineStr">
        <is>
          <t>Milestones</t>
        </is>
      </c>
      <c r="C29" s="15" t="inlineStr">
        <is>
          <t>milestone_date_slippage</t>
        </is>
      </c>
      <c r="D29" s="15" t="inlineStr">
        <is>
          <t>Which milestone dates differ from their mapped task dates?</t>
        </is>
      </c>
      <c r="E29" s="15" t="inlineStr">
        <is>
          <t>Show milestones with task schedules outside milestone dates.</t>
        </is>
      </c>
      <c r="F29" s="15" t="inlineStr">
        <is>
          <t>List milestone schedule mismatches.</t>
        </is>
      </c>
      <c r="G29" s="15" t="inlineStr">
        <is>
          <t>none</t>
        </is>
      </c>
      <c r="H29" s="15" t="inlineStr">
        <is>
          <t>Derived</t>
        </is>
      </c>
      <c r="I29" s="15" t="inlineStr">
        <is>
          <t>milestone tables; mapping</t>
        </is>
      </c>
      <c r="J29" s="15" t="inlineStr">
        <is>
          <t>Not Applicable – Non-Direct Support</t>
        </is>
      </c>
      <c r="K29" s="15" t="inlineStr">
        <is>
          <t>No baseline milestone date exists; this is schedule consistency, not baseline slippage.</t>
        </is>
      </c>
      <c r="L29" s="16" t="n"/>
      <c r="M29" s="15" t="inlineStr">
        <is>
          <t>Pending</t>
        </is>
      </c>
      <c r="N29" s="15" t="inlineStr">
        <is>
          <t>Not applicable: schema support is not Direct.</t>
        </is>
      </c>
      <c r="O29" s="16" t="n"/>
      <c r="P29" s="15" t="inlineStr">
        <is>
          <t>—</t>
        </is>
      </c>
      <c r="Q29" s="15" t="inlineStr">
        <is>
          <t>N/A</t>
        </is>
      </c>
      <c r="R29" s="15" t="inlineStr">
        <is>
          <t>Blocked — Business Rule / Schema Gap</t>
        </is>
      </c>
    </row>
    <row r="30">
      <c r="A30" s="24" t="n">
        <v>29</v>
      </c>
      <c r="B30" s="25" t="inlineStr">
        <is>
          <t>Milestones</t>
        </is>
      </c>
      <c r="C30" s="25" t="inlineStr">
        <is>
          <t>milestones_due_month</t>
        </is>
      </c>
      <c r="D30" s="25" t="inlineStr">
        <is>
          <t>Which milestones are due this month?</t>
        </is>
      </c>
      <c r="E30" s="25" t="inlineStr">
        <is>
          <t>Show this month’s milestone deadlines.</t>
        </is>
      </c>
      <c r="F30" s="25" t="inlineStr">
        <is>
          <t>List milestones ending this month.</t>
        </is>
      </c>
      <c r="G30" s="25" t="inlineStr">
        <is>
          <t>month</t>
        </is>
      </c>
      <c r="H30" s="25" t="inlineStr">
        <is>
          <t>Direct</t>
        </is>
      </c>
      <c r="I30" s="25" t="inlineStr">
        <is>
          <t>tbl_project_task_milestone.end_date</t>
        </is>
      </c>
      <c r="J30" s="25" t="inlineStr">
        <is>
          <t>Mapped – Direct Schema</t>
        </is>
      </c>
      <c r="K30" s="25" t="inlineStr">
        <is>
          <t>Use organization timezone.</t>
        </is>
      </c>
      <c r="L30" s="25" t="inlineStr">
        <is>
          <t>SELECT DISTINCT p.project_id, p.project_key, p.title AS project_title, m.milestone_id, m.milestone, m.end_date FROM tbl_project_task_milestone m JOIN tbl_project_task_milestone_mapping mm ON mm.milestone_id = m.milestone_id JOIN tbl_projects p ON p.project_id = mm.project_id WHERE m.end_date &gt;= DATE_FORMAT(CURRENT_DATE, '%Y-%m-01') AND m.end_date &lt; DATE_ADD(LAST_DAY(CURRENT_DATE), INTERVAL 1 DAY) ORDER BY m.end_date, p.title;</t>
        </is>
      </c>
      <c r="M30" s="25" t="inlineStr">
        <is>
          <t>Pending</t>
        </is>
      </c>
      <c r="N30" s="25" t="inlineStr">
        <is>
          <t>Mapped from schema</t>
        </is>
      </c>
      <c r="O30" s="26" t="n"/>
      <c r="P30" s="25" t="inlineStr">
        <is>
          <t>tbl_project_task_milestone, tbl_project_task_milestone_mapping</t>
        </is>
      </c>
      <c r="Q30" s="25" t="inlineStr">
        <is>
          <t>No Data (Table Empty)</t>
        </is>
      </c>
      <c r="R30" s="25" t="inlineStr">
        <is>
          <t>Dead — Milestone Module Unused</t>
        </is>
      </c>
    </row>
    <row r="31">
      <c r="A31" s="6" t="n">
        <v>30</v>
      </c>
      <c r="B31" s="15" t="inlineStr">
        <is>
          <t>Milestones</t>
        </is>
      </c>
      <c r="C31" s="15" t="inlineStr">
        <is>
          <t>milestone_owner</t>
        </is>
      </c>
      <c r="D31" s="15" t="inlineStr">
        <is>
          <t>Who owns milestone :milestone_name?</t>
        </is>
      </c>
      <c r="E31" s="15" t="inlineStr">
        <is>
          <t>Show the owner of :milestone_name.</t>
        </is>
      </c>
      <c r="F31" s="15" t="inlineStr">
        <is>
          <t>Who is responsible for :milestone_name?</t>
        </is>
      </c>
      <c r="G31" s="15" t="inlineStr">
        <is>
          <t>milestone_name</t>
        </is>
      </c>
      <c r="H31" s="15" t="inlineStr">
        <is>
          <t>Not supported directly</t>
        </is>
      </c>
      <c r="I31" s="15" t="inlineStr">
        <is>
          <t>milestone tables</t>
        </is>
      </c>
      <c r="J31" s="15" t="inlineStr">
        <is>
          <t>Not Applicable – Non-Direct Support</t>
        </is>
      </c>
      <c r="K31" s="15" t="inlineStr">
        <is>
          <t>No owner column exists on milestone table; may be inferred from task owners only.</t>
        </is>
      </c>
      <c r="L31" s="16" t="n"/>
      <c r="M31" s="15" t="inlineStr">
        <is>
          <t>Pending</t>
        </is>
      </c>
      <c r="N31" s="15" t="inlineStr">
        <is>
          <t>Not applicable: schema support is not Direct.</t>
        </is>
      </c>
      <c r="O31" s="16" t="n"/>
      <c r="P31" s="15" t="inlineStr">
        <is>
          <t>—</t>
        </is>
      </c>
      <c r="Q31" s="15" t="inlineStr">
        <is>
          <t>N/A</t>
        </is>
      </c>
      <c r="R31" s="15" t="inlineStr">
        <is>
          <t>Blocked — Business Rule / Schema Gap</t>
        </is>
      </c>
    </row>
    <row r="32">
      <c r="A32" s="6" t="n">
        <v>31</v>
      </c>
      <c r="B32" s="15" t="inlineStr">
        <is>
          <t>Tasks</t>
        </is>
      </c>
      <c r="C32" s="15" t="inlineStr">
        <is>
          <t>my_open_tasks</t>
        </is>
      </c>
      <c r="D32" s="15" t="inlineStr">
        <is>
          <t>What are my open tasks?</t>
        </is>
      </c>
      <c r="E32" s="15" t="inlineStr">
        <is>
          <t>Show tasks assigned to me that are not closed.</t>
        </is>
      </c>
      <c r="F32" s="15" t="inlineStr">
        <is>
          <t>List my pending work items.</t>
        </is>
      </c>
      <c r="G32" s="15" t="inlineStr">
        <is>
          <t>current_user</t>
        </is>
      </c>
      <c r="H32" s="15" t="inlineStr">
        <is>
          <t>Direct</t>
        </is>
      </c>
      <c r="I32" s="15" t="inlineStr">
        <is>
          <t>tbl_project_task_users; tbl_project_tasks; task status</t>
        </is>
      </c>
      <c r="J32" s="15" t="inlineStr">
        <is>
          <t>Not Mapped – Business Rule Required</t>
        </is>
      </c>
      <c r="K32" s="15" t="inlineStr">
        <is>
          <t>Define open status types and whether task_owner also counts.</t>
        </is>
      </c>
      <c r="L32" s="16" t="n"/>
      <c r="M32" s="15" t="inlineStr">
        <is>
          <t>Pending</t>
        </is>
      </c>
      <c r="N32" s="15" t="inlineStr">
        <is>
          <t>Not mapped: “open” status types and whether task_owner counts are business rules.</t>
        </is>
      </c>
      <c r="O32" s="15" t="inlineStr">
        <is>
          <t>SELECT
    t.task_id,
    t.title,
    t.due_date,
    t.priority,
    t.project_id,
    ts.status_name
FROM tbl_project_tasks t
INNER JOIN tbl_project_task_users tu
    ON t.task_id = tu.task_id
INNER JOIN tbl_project_task_status ts
    ON t.task_status_id = ts.task_status_id
WHERE tu.user_id = {your_user_id}
AND ts.status_type != 3
ORDER BY t.due_date ASC</t>
        </is>
      </c>
      <c r="P32" s="15" t="inlineStr">
        <is>
          <t>—</t>
        </is>
      </c>
      <c r="Q32" s="15" t="inlineStr">
        <is>
          <t>N/A</t>
        </is>
      </c>
      <c r="R32" s="15" t="inlineStr">
        <is>
          <t>Blocked — Business Rule / Schema Gap</t>
        </is>
      </c>
    </row>
    <row r="33">
      <c r="A33" s="6" t="n">
        <v>32</v>
      </c>
      <c r="B33" s="15" t="inlineStr">
        <is>
          <t>Tasks</t>
        </is>
      </c>
      <c r="C33" s="15" t="inlineStr">
        <is>
          <t>my_tasks_due_today</t>
        </is>
      </c>
      <c r="D33" s="15" t="inlineStr">
        <is>
          <t>Which of my tasks are due today?</t>
        </is>
      </c>
      <c r="E33" s="15" t="inlineStr">
        <is>
          <t>Show my tasks with today’s due date.</t>
        </is>
      </c>
      <c r="F33" s="15" t="inlineStr">
        <is>
          <t>What work is due for me today?</t>
        </is>
      </c>
      <c r="G33" s="15" t="inlineStr">
        <is>
          <t>current_user, current_date</t>
        </is>
      </c>
      <c r="H33" s="15" t="inlineStr">
        <is>
          <t>Direct</t>
        </is>
      </c>
      <c r="I33" s="15" t="inlineStr">
        <is>
          <t>task users; tasks</t>
        </is>
      </c>
      <c r="J33" s="15" t="inlineStr">
        <is>
          <t>Mapped – Direct Schema</t>
        </is>
      </c>
      <c r="K33" s="15" t="inlineStr">
        <is>
          <t>Use organization timezone.</t>
        </is>
      </c>
      <c r="L33" s="15" t="inlineStr">
        <is>
          <t>SELECT t.task_id, t.reference_no, t.title, p.title AS project_title, t.due_date, ts.status_name, t.priority, t.rag, t.percent_complete FROM tbl_project_task_users tu JOIN tbl_project_tasks t ON t.task_id = tu.task_id JOIN tbl_projects p ON p.project_id = t.project_id LEFT JOIN tbl_project_task_status ts ON ts.task_status_id = t.task_status_id WHERE tu.user_id = :current_user_id AND tu.status = 1 AND t.status = 1 AND t.archive = 0 AND DATE(t.due_date) = CURRENT_DATE ORDER BY t.due_date, t.reference_no;</t>
        </is>
      </c>
      <c r="M33" s="15" t="inlineStr">
        <is>
          <t>Pending</t>
        </is>
      </c>
      <c r="N33" s="15" t="inlineStr">
        <is>
          <t>Mapped from schema</t>
        </is>
      </c>
      <c r="O33" s="16" t="n"/>
      <c r="P33" s="15" t="inlineStr">
        <is>
          <t>—</t>
        </is>
      </c>
      <c r="Q33" s="15" t="inlineStr">
        <is>
          <t>Data Available</t>
        </is>
      </c>
      <c r="R33" s="15" t="inlineStr">
        <is>
          <t>Ready for Verification</t>
        </is>
      </c>
    </row>
    <row r="34">
      <c r="A34" s="6" t="n">
        <v>33</v>
      </c>
      <c r="B34" s="15" t="inlineStr">
        <is>
          <t>Tasks</t>
        </is>
      </c>
      <c r="C34" s="15" t="inlineStr">
        <is>
          <t>my_overdue_tasks</t>
        </is>
      </c>
      <c r="D34" s="15" t="inlineStr">
        <is>
          <t>Which of my tasks are overdue?</t>
        </is>
      </c>
      <c r="E34" s="15" t="inlineStr">
        <is>
          <t>Show my delayed tasks.</t>
        </is>
      </c>
      <c r="F34" s="15" t="inlineStr">
        <is>
          <t>List my open tasks past their due date.</t>
        </is>
      </c>
      <c r="G34" s="15" t="inlineStr">
        <is>
          <t>current_user, as_of_date</t>
        </is>
      </c>
      <c r="H34" s="15" t="inlineStr">
        <is>
          <t>Derived</t>
        </is>
      </c>
      <c r="I34" s="15" t="inlineStr">
        <is>
          <t>task users; tasks; task status</t>
        </is>
      </c>
      <c r="J34" s="15" t="inlineStr">
        <is>
          <t>Not Applicable – Non-Direct Support</t>
        </is>
      </c>
      <c r="K34" s="15" t="inlineStr">
        <is>
          <t>Define open statuses.</t>
        </is>
      </c>
      <c r="L34" s="16" t="n"/>
      <c r="M34" s="15" t="inlineStr">
        <is>
          <t>Pending</t>
        </is>
      </c>
      <c r="N34" s="15" t="inlineStr">
        <is>
          <t>Not applicable: schema support is not Direct.</t>
        </is>
      </c>
      <c r="O34" s="16" t="n"/>
      <c r="P34" s="15" t="inlineStr">
        <is>
          <t>—</t>
        </is>
      </c>
      <c r="Q34" s="15" t="inlineStr">
        <is>
          <t>N/A</t>
        </is>
      </c>
      <c r="R34" s="15" t="inlineStr">
        <is>
          <t>Blocked — Business Rule / Schema Gap</t>
        </is>
      </c>
    </row>
    <row r="35">
      <c r="A35" s="6" t="n">
        <v>34</v>
      </c>
      <c r="B35" s="15" t="inlineStr">
        <is>
          <t>Tasks</t>
        </is>
      </c>
      <c r="C35" s="15" t="inlineStr">
        <is>
          <t>tasks_assigned_to_user</t>
        </is>
      </c>
      <c r="D35" s="15" t="inlineStr">
        <is>
          <t>Show tasks assigned to :employee_name.</t>
        </is>
      </c>
      <c r="E35" s="15" t="inlineStr">
        <is>
          <t>List :employee_name’s tasks.</t>
        </is>
      </c>
      <c r="F35" s="15" t="inlineStr">
        <is>
          <t>What work is assigned to :employee_name?</t>
        </is>
      </c>
      <c r="G35" s="15" t="inlineStr">
        <is>
          <t>employee_name</t>
        </is>
      </c>
      <c r="H35" s="15" t="inlineStr">
        <is>
          <t>Direct</t>
        </is>
      </c>
      <c r="I35" s="15" t="inlineStr">
        <is>
          <t>tbl_project_task_users; tbl_users; tasks</t>
        </is>
      </c>
      <c r="J35" s="15" t="inlineStr">
        <is>
          <t>Mapped – Direct Schema</t>
        </is>
      </c>
      <c r="K35" s="15" t="inlineStr">
        <is>
          <t>Handle active assignment status.</t>
        </is>
      </c>
      <c r="L35" s="15" t="inlineStr">
        <is>
          <t>SELECT u.user_id, CONCAT_WS(' ', u.first_name, u.last_name) AS employee_name, p.title AS project_title, t.task_id, t.reference_no, t.title AS task_title, t.due_date, ts.status_name, tu.allot_percentage FROM tbl_users u JOIN tbl_project_task_users tu ON tu.user_id = u.user_id JOIN tbl_project_tasks t ON t.task_id = tu.task_id JOIN tbl_projects p ON p.project_id = t.project_id LEFT JOIN tbl_project_task_status ts ON ts.task_status_id = t.task_status_id WHERE CONCAT_WS(' ', u.first_name, u.last_name) = :employee_name AND tu.status = 1 AND t.status = 1 AND t.archive = 0 ORDER BY p.title, t.due_date, t.reference_no;</t>
        </is>
      </c>
      <c r="M35" s="15" t="inlineStr">
        <is>
          <t>Pending</t>
        </is>
      </c>
      <c r="N35" s="15" t="inlineStr">
        <is>
          <t>Mapped from schema</t>
        </is>
      </c>
      <c r="O35" s="16" t="n"/>
      <c r="P35" s="15" t="inlineStr">
        <is>
          <t>—</t>
        </is>
      </c>
      <c r="Q35" s="15" t="inlineStr">
        <is>
          <t>Data Available</t>
        </is>
      </c>
      <c r="R35" s="15" t="inlineStr">
        <is>
          <t>Ready for Verification</t>
        </is>
      </c>
    </row>
    <row r="36">
      <c r="A36" s="6" t="n">
        <v>35</v>
      </c>
      <c r="B36" s="15" t="inlineStr">
        <is>
          <t>Tasks</t>
        </is>
      </c>
      <c r="C36" s="15" t="inlineStr">
        <is>
          <t>project_open_tasks</t>
        </is>
      </c>
      <c r="D36" s="15" t="inlineStr">
        <is>
          <t>Show open tasks for :project_name.</t>
        </is>
      </c>
      <c r="E36" s="15" t="inlineStr">
        <is>
          <t>List pending tasks under :project_name.</t>
        </is>
      </c>
      <c r="F36" s="15" t="inlineStr">
        <is>
          <t>What work remains for :project_name?</t>
        </is>
      </c>
      <c r="G36" s="15" t="inlineStr">
        <is>
          <t>project_name</t>
        </is>
      </c>
      <c r="H36" s="15" t="inlineStr">
        <is>
          <t>Derived</t>
        </is>
      </c>
      <c r="I36" s="15" t="inlineStr">
        <is>
          <t>tasks; task status</t>
        </is>
      </c>
      <c r="J36" s="15" t="inlineStr">
        <is>
          <t>Not Applicable – Non-Direct Support</t>
        </is>
      </c>
      <c r="K36" s="15" t="inlineStr">
        <is>
          <t>Define open statuses.</t>
        </is>
      </c>
      <c r="L36" s="16" t="n"/>
      <c r="M36" s="15" t="inlineStr">
        <is>
          <t>Pending</t>
        </is>
      </c>
      <c r="N36" s="15" t="inlineStr">
        <is>
          <t>Not applicable: schema support is not Direct.</t>
        </is>
      </c>
      <c r="O36" s="16" t="n"/>
      <c r="P36" s="15" t="inlineStr">
        <is>
          <t>—</t>
        </is>
      </c>
      <c r="Q36" s="15" t="inlineStr">
        <is>
          <t>N/A</t>
        </is>
      </c>
      <c r="R36" s="15" t="inlineStr">
        <is>
          <t>Blocked — Business Rule / Schema Gap</t>
        </is>
      </c>
    </row>
    <row r="37">
      <c r="A37" s="6" t="n">
        <v>36</v>
      </c>
      <c r="B37" s="15" t="inlineStr">
        <is>
          <t>Tasks</t>
        </is>
      </c>
      <c r="C37" s="15" t="inlineStr">
        <is>
          <t>project_closed_tasks</t>
        </is>
      </c>
      <c r="D37" s="15" t="inlineStr">
        <is>
          <t>Show completed tasks for :project_name.</t>
        </is>
      </c>
      <c r="E37" s="15" t="inlineStr">
        <is>
          <t>List closed tasks under :project_name.</t>
        </is>
      </c>
      <c r="F37" s="15" t="inlineStr">
        <is>
          <t>What tasks are finished in :project_name?</t>
        </is>
      </c>
      <c r="G37" s="15" t="inlineStr">
        <is>
          <t>project_name</t>
        </is>
      </c>
      <c r="H37" s="15" t="inlineStr">
        <is>
          <t>Derived</t>
        </is>
      </c>
      <c r="I37" s="15" t="inlineStr">
        <is>
          <t>tasks; task status</t>
        </is>
      </c>
      <c r="J37" s="15" t="inlineStr">
        <is>
          <t>Not Applicable – Non-Direct Support</t>
        </is>
      </c>
      <c r="K37" s="15" t="inlineStr">
        <is>
          <t>Define closed status types.</t>
        </is>
      </c>
      <c r="L37" s="16" t="n"/>
      <c r="M37" s="15" t="inlineStr">
        <is>
          <t>Pending</t>
        </is>
      </c>
      <c r="N37" s="15" t="inlineStr">
        <is>
          <t>Not applicable: schema support is not Direct.</t>
        </is>
      </c>
      <c r="O37" s="16" t="n"/>
      <c r="P37" s="15" t="inlineStr">
        <is>
          <t>—</t>
        </is>
      </c>
      <c r="Q37" s="15" t="inlineStr">
        <is>
          <t>N/A</t>
        </is>
      </c>
      <c r="R37" s="15" t="inlineStr">
        <is>
          <t>Blocked — Business Rule / Schema Gap</t>
        </is>
      </c>
    </row>
    <row r="38">
      <c r="A38" s="6" t="n">
        <v>37</v>
      </c>
      <c r="B38" s="15" t="inlineStr">
        <is>
          <t>Tasks</t>
        </is>
      </c>
      <c r="C38" s="15" t="inlineStr">
        <is>
          <t>unassigned_tasks</t>
        </is>
      </c>
      <c r="D38" s="15" t="inlineStr">
        <is>
          <t>Which tasks are unassigned?</t>
        </is>
      </c>
      <c r="E38" s="15" t="inlineStr">
        <is>
          <t>Show tasks with no active assignee.</t>
        </is>
      </c>
      <c r="F38" s="15" t="inlineStr">
        <is>
          <t>List unallocated tasks.</t>
        </is>
      </c>
      <c r="G38" s="15" t="inlineStr">
        <is>
          <t>project_scope</t>
        </is>
      </c>
      <c r="H38" s="15" t="inlineStr">
        <is>
          <t>Derived</t>
        </is>
      </c>
      <c r="I38" s="15" t="inlineStr">
        <is>
          <t>tasks; task users</t>
        </is>
      </c>
      <c r="J38" s="15" t="inlineStr">
        <is>
          <t>Not Applicable – Non-Direct Support</t>
        </is>
      </c>
      <c r="K38" s="15" t="inlineStr">
        <is>
          <t>Confirm whether task_owner is an assignment.</t>
        </is>
      </c>
      <c r="L38" s="16" t="n"/>
      <c r="M38" s="15" t="inlineStr">
        <is>
          <t>Pending</t>
        </is>
      </c>
      <c r="N38" s="15" t="inlineStr">
        <is>
          <t>Not applicable: schema support is not Direct.</t>
        </is>
      </c>
      <c r="O38" s="16" t="n"/>
      <c r="P38" s="15" t="inlineStr">
        <is>
          <t>—</t>
        </is>
      </c>
      <c r="Q38" s="15" t="inlineStr">
        <is>
          <t>N/A</t>
        </is>
      </c>
      <c r="R38" s="15" t="inlineStr">
        <is>
          <t>Blocked — Business Rule / Schema Gap</t>
        </is>
      </c>
    </row>
    <row r="39">
      <c r="A39" s="6" t="n">
        <v>38</v>
      </c>
      <c r="B39" s="15" t="inlineStr">
        <is>
          <t>Tasks</t>
        </is>
      </c>
      <c r="C39" s="15" t="inlineStr">
        <is>
          <t>high_priority_tasks</t>
        </is>
      </c>
      <c r="D39" s="15" t="inlineStr">
        <is>
          <t>Show high-priority open tasks.</t>
        </is>
      </c>
      <c r="E39" s="15" t="inlineStr">
        <is>
          <t>List urgent pending tasks.</t>
        </is>
      </c>
      <c r="F39" s="15" t="inlineStr">
        <is>
          <t>Which open tasks have high priority?</t>
        </is>
      </c>
      <c r="G39" s="15" t="inlineStr">
        <is>
          <t>project_scope</t>
        </is>
      </c>
      <c r="H39" s="15" t="inlineStr">
        <is>
          <t>Derived</t>
        </is>
      </c>
      <c r="I39" s="15" t="inlineStr">
        <is>
          <t>tasks.priority; task status</t>
        </is>
      </c>
      <c r="J39" s="15" t="inlineStr">
        <is>
          <t>Not Applicable – Non-Direct Support</t>
        </is>
      </c>
      <c r="K39" s="15" t="inlineStr">
        <is>
          <t>Confirm priority values.</t>
        </is>
      </c>
      <c r="L39" s="16" t="n"/>
      <c r="M39" s="15" t="inlineStr">
        <is>
          <t>Pending</t>
        </is>
      </c>
      <c r="N39" s="15" t="inlineStr">
        <is>
          <t>Not applicable: schema support is not Direct.</t>
        </is>
      </c>
      <c r="O39" s="16" t="n"/>
      <c r="P39" s="15" t="inlineStr">
        <is>
          <t>—</t>
        </is>
      </c>
      <c r="Q39" s="15" t="inlineStr">
        <is>
          <t>N/A</t>
        </is>
      </c>
      <c r="R39" s="15" t="inlineStr">
        <is>
          <t>Blocked — Business Rule / Schema Gap</t>
        </is>
      </c>
    </row>
    <row r="40">
      <c r="A40" s="6" t="n">
        <v>39</v>
      </c>
      <c r="B40" s="15" t="inlineStr">
        <is>
          <t>Tasks</t>
        </is>
      </c>
      <c r="C40" s="15" t="inlineStr">
        <is>
          <t>red_rag_tasks</t>
        </is>
      </c>
      <c r="D40" s="15" t="inlineStr">
        <is>
          <t>Which tasks have a red RAG status?</t>
        </is>
      </c>
      <c r="E40" s="15" t="inlineStr">
        <is>
          <t>Show red-health tasks.</t>
        </is>
      </c>
      <c r="F40" s="15" t="inlineStr">
        <is>
          <t>List tasks flagged red.</t>
        </is>
      </c>
      <c r="G40" s="15" t="inlineStr">
        <is>
          <t>project_scope</t>
        </is>
      </c>
      <c r="H40" s="15" t="inlineStr">
        <is>
          <t>Direct</t>
        </is>
      </c>
      <c r="I40" s="15" t="inlineStr">
        <is>
          <t>tbl_project_tasks.rag</t>
        </is>
      </c>
      <c r="J40" s="15" t="inlineStr">
        <is>
          <t>Mapped – Direct Schema</t>
        </is>
      </c>
      <c r="K40" s="15" t="inlineStr">
        <is>
          <t>Confirm stored RAG values.</t>
        </is>
      </c>
      <c r="L40" s="15" t="inlineStr">
        <is>
          <t>SELECT t.task_id, t.reference_no, t.title, p.title AS project_title, t.rag, t.due_date, ts.status_name FROM tbl_project_tasks t JOIN tbl_projects p ON p.project_id = t.project_id LEFT JOIN tbl_project_task_status ts ON ts.task_status_id = t.task_status_id WHERE LOWER(t.rag) = 'red' AND t.status = 1 AND t.archive = 0 ORDER BY t.due_date, p.title;</t>
        </is>
      </c>
      <c r="M40" s="15" t="inlineStr">
        <is>
          <t>Pending</t>
        </is>
      </c>
      <c r="N40" s="15" t="inlineStr">
        <is>
          <t>Mapped from schema</t>
        </is>
      </c>
      <c r="O40" s="16" t="n"/>
      <c r="P40" s="15" t="inlineStr">
        <is>
          <t>—</t>
        </is>
      </c>
      <c r="Q40" s="15" t="inlineStr">
        <is>
          <t>Data Available</t>
        </is>
      </c>
      <c r="R40" s="15" t="inlineStr">
        <is>
          <t>Ready for Verification</t>
        </is>
      </c>
    </row>
    <row r="41">
      <c r="A41" s="6" t="n">
        <v>40</v>
      </c>
      <c r="B41" s="15" t="inlineStr">
        <is>
          <t>Tasks</t>
        </is>
      </c>
      <c r="C41" s="15" t="inlineStr">
        <is>
          <t>tasks_due_period</t>
        </is>
      </c>
      <c r="D41" s="15" t="inlineStr">
        <is>
          <t>Which tasks are due between :start_date and :end_date?</t>
        </is>
      </c>
      <c r="E41" s="15" t="inlineStr">
        <is>
          <t>Show tasks due in the selected period.</t>
        </is>
      </c>
      <c r="F41" s="15" t="inlineStr">
        <is>
          <t>List upcoming task deadlines.</t>
        </is>
      </c>
      <c r="G41" s="15" t="inlineStr">
        <is>
          <t>start_date, end_date</t>
        </is>
      </c>
      <c r="H41" s="15" t="inlineStr">
        <is>
          <t>Direct</t>
        </is>
      </c>
      <c r="I41" s="15" t="inlineStr">
        <is>
          <t>tbl_project_tasks.due_date</t>
        </is>
      </c>
      <c r="J41" s="15" t="inlineStr">
        <is>
          <t>Mapped – Direct Schema</t>
        </is>
      </c>
      <c r="K41" s="15" t="inlineStr">
        <is>
          <t>Default visibility scope required.</t>
        </is>
      </c>
      <c r="L41" s="15" t="inlineStr">
        <is>
          <t>SELECT t.task_id, t.reference_no, t.title, p.title AS project_title, t.due_date, ts.status_name, t.priority, t.rag FROM tbl_project_tasks t JOIN tbl_projects p ON p.project_id = t.project_id LEFT JOIN tbl_project_task_status ts ON ts.task_status_id = t.task_status_id WHERE t.due_date &gt;= :start_date AND t.due_date &lt; DATE_ADD(:end_date, INTERVAL 1 DAY) AND t.status = 1 AND t.archive = 0 ORDER BY t.due_date, p.title, t.reference_no;</t>
        </is>
      </c>
      <c r="M41" s="15" t="inlineStr">
        <is>
          <t>Pending</t>
        </is>
      </c>
      <c r="N41" s="15" t="inlineStr">
        <is>
          <t>Mapped from schema</t>
        </is>
      </c>
      <c r="O41" s="16" t="n"/>
      <c r="P41" s="15" t="inlineStr">
        <is>
          <t>—</t>
        </is>
      </c>
      <c r="Q41" s="15" t="inlineStr">
        <is>
          <t>Data Available</t>
        </is>
      </c>
      <c r="R41" s="15" t="inlineStr">
        <is>
          <t>Ready for Verification</t>
        </is>
      </c>
    </row>
    <row r="42">
      <c r="A42" s="6" t="n">
        <v>41</v>
      </c>
      <c r="B42" s="15" t="inlineStr">
        <is>
          <t>Tasks</t>
        </is>
      </c>
      <c r="C42" s="15" t="inlineStr">
        <is>
          <t>task_details</t>
        </is>
      </c>
      <c r="D42" s="15" t="inlineStr">
        <is>
          <t>Show details of task :task_reference.</t>
        </is>
      </c>
      <c r="E42" s="15" t="inlineStr">
        <is>
          <t>Give me the task summary for :task_reference.</t>
        </is>
      </c>
      <c r="F42" s="15" t="inlineStr">
        <is>
          <t>Open task :task_reference.</t>
        </is>
      </c>
      <c r="G42" s="15" t="inlineStr">
        <is>
          <t>task_reference</t>
        </is>
      </c>
      <c r="H42" s="15" t="inlineStr">
        <is>
          <t>Direct</t>
        </is>
      </c>
      <c r="I42" s="15" t="inlineStr">
        <is>
          <t>tbl_project_tasks</t>
        </is>
      </c>
      <c r="J42" s="15" t="inlineStr">
        <is>
          <t>Mapped – Direct Schema</t>
        </is>
      </c>
      <c r="K42" s="15" t="inlineStr">
        <is>
          <t>Prefer reference_no over title.</t>
        </is>
      </c>
      <c r="L42" s="15" t="inlineStr">
        <is>
          <t>SELECT t.task_id, t.reference_no, t.title, t.description, p.project_id, p.title AS project_title, t.task_owner, t.start_date, t.due_date, t.task_status_id, ts.status_name, t.priority, t.rag, t.estimate, t.actual_hours, t.percent_complete, t.update_date FROM tbl_project_tasks t JOIN tbl_projects p ON p.project_id = t.project_id LEFT JOIN tbl_project_task_status ts ON ts.task_status_id = t.task_status_id WHERE t.reference_no = :task_reference AND t.status = 1 AND t.archive = 0;</t>
        </is>
      </c>
      <c r="M42" s="15" t="inlineStr">
        <is>
          <t>Pending</t>
        </is>
      </c>
      <c r="N42" s="15" t="inlineStr">
        <is>
          <t>Mapped from schema</t>
        </is>
      </c>
      <c r="O42" s="16" t="n"/>
      <c r="P42" s="15" t="inlineStr">
        <is>
          <t>—</t>
        </is>
      </c>
      <c r="Q42" s="15" t="inlineStr">
        <is>
          <t>Data Available</t>
        </is>
      </c>
      <c r="R42" s="15" t="inlineStr">
        <is>
          <t>Ready for Verification</t>
        </is>
      </c>
    </row>
    <row r="43">
      <c r="A43" s="6" t="n">
        <v>42</v>
      </c>
      <c r="B43" s="15" t="inlineStr">
        <is>
          <t>Tasks</t>
        </is>
      </c>
      <c r="C43" s="15" t="inlineStr">
        <is>
          <t>subtasks_of_task</t>
        </is>
      </c>
      <c r="D43" s="15" t="inlineStr">
        <is>
          <t>Show subtasks of :task_reference.</t>
        </is>
      </c>
      <c r="E43" s="15" t="inlineStr">
        <is>
          <t>List child tasks under :task_reference.</t>
        </is>
      </c>
      <c r="F43" s="15" t="inlineStr">
        <is>
          <t>What tasks depend hierarchically on :task_reference?</t>
        </is>
      </c>
      <c r="G43" s="15" t="inlineStr">
        <is>
          <t>task_reference</t>
        </is>
      </c>
      <c r="H43" s="15" t="inlineStr">
        <is>
          <t>Direct</t>
        </is>
      </c>
      <c r="I43" s="15" t="inlineStr">
        <is>
          <t>tbl_project_tasks.parent_id</t>
        </is>
      </c>
      <c r="J43" s="15" t="inlineStr">
        <is>
          <t>Mapped – Direct Schema</t>
        </is>
      </c>
      <c r="K43" s="15" t="inlineStr">
        <is>
          <t>Hierarchy only; not dependency semantics.</t>
        </is>
      </c>
      <c r="L43" s="15" t="inlineStr">
        <is>
          <t>SELECT c.task_id, c.reference_no, c.title, c.start_date, c.due_date, ts.status_name, c.priority, c.rag, c.percent_complete FROM tbl_project_tasks parent JOIN tbl_project_tasks c ON c.parent_id = parent.task_id LEFT JOIN tbl_project_task_status ts ON ts.task_status_id = c.task_status_id WHERE parent.reference_no = :task_reference AND c.status = 1 AND c.archive = 0 ORDER BY c.due_date, c.reference_no;</t>
        </is>
      </c>
      <c r="M43" s="15" t="inlineStr">
        <is>
          <t>Pending</t>
        </is>
      </c>
      <c r="N43" s="15" t="inlineStr">
        <is>
          <t>Mapped from schema</t>
        </is>
      </c>
      <c r="O43" s="16" t="n"/>
      <c r="P43" s="15" t="inlineStr">
        <is>
          <t>—</t>
        </is>
      </c>
      <c r="Q43" s="15" t="inlineStr">
        <is>
          <t>Data Available</t>
        </is>
      </c>
      <c r="R43" s="15" t="inlineStr">
        <is>
          <t>Ready for Verification</t>
        </is>
      </c>
    </row>
    <row r="44">
      <c r="A44" s="6" t="n">
        <v>43</v>
      </c>
      <c r="B44" s="15" t="inlineStr">
        <is>
          <t>Tasks</t>
        </is>
      </c>
      <c r="C44" s="15" t="inlineStr">
        <is>
          <t>task_assignees</t>
        </is>
      </c>
      <c r="D44" s="15" t="inlineStr">
        <is>
          <t>Who is assigned to task :task_reference?</t>
        </is>
      </c>
      <c r="E44" s="15" t="inlineStr">
        <is>
          <t>Show all assignees for :task_reference.</t>
        </is>
      </c>
      <c r="F44" s="15" t="inlineStr">
        <is>
          <t>Which users are allocated to :task_reference?</t>
        </is>
      </c>
      <c r="G44" s="15" t="inlineStr">
        <is>
          <t>task_reference</t>
        </is>
      </c>
      <c r="H44" s="15" t="inlineStr">
        <is>
          <t>Direct</t>
        </is>
      </c>
      <c r="I44" s="15" t="inlineStr">
        <is>
          <t>tbl_project_task_users; tbl_users</t>
        </is>
      </c>
      <c r="J44" s="15" t="inlineStr">
        <is>
          <t>Mapped – Direct Schema</t>
        </is>
      </c>
      <c r="K44" s="15" t="inlineStr">
        <is>
          <t>Include allot_percentage.</t>
        </is>
      </c>
      <c r="L44" s="15" t="inlineStr">
        <is>
          <t>SELECT u.user_id, CONCAT_WS(' ', u.first_name, u.last_name) AS employee_name, u.email, tu.allot_percentage, tu.post_date AS assigned_on FROM tbl_project_tasks t JOIN tbl_project_task_users tu ON tu.task_id = t.task_id JOIN tbl_users u ON u.user_id = tu.user_id WHERE t.reference_no = :task_reference AND tu.status = 1 ORDER BY employee_name;</t>
        </is>
      </c>
      <c r="M44" s="15" t="inlineStr">
        <is>
          <t>Pending</t>
        </is>
      </c>
      <c r="N44" s="15" t="inlineStr">
        <is>
          <t>Mapped from schema</t>
        </is>
      </c>
      <c r="O44" s="16" t="n"/>
      <c r="P44" s="15" t="inlineStr">
        <is>
          <t>—</t>
        </is>
      </c>
      <c r="Q44" s="15" t="inlineStr">
        <is>
          <t>Data Available</t>
        </is>
      </c>
      <c r="R44" s="15" t="inlineStr">
        <is>
          <t>Ready for Verification</t>
        </is>
      </c>
    </row>
    <row r="45">
      <c r="A45" s="6" t="n">
        <v>44</v>
      </c>
      <c r="B45" s="15" t="inlineStr">
        <is>
          <t>Tasks</t>
        </is>
      </c>
      <c r="C45" s="15" t="inlineStr">
        <is>
          <t>task_allocation_percentages</t>
        </is>
      </c>
      <c r="D45" s="15" t="inlineStr">
        <is>
          <t>Show allocation percentages for task :task_reference.</t>
        </is>
      </c>
      <c r="E45" s="15" t="inlineStr">
        <is>
          <t>How is task :task_reference allocated?</t>
        </is>
      </c>
      <c r="F45" s="15" t="inlineStr">
        <is>
          <t>List assignees and percentages for :task_reference.</t>
        </is>
      </c>
      <c r="G45" s="15" t="inlineStr">
        <is>
          <t>task_reference</t>
        </is>
      </c>
      <c r="H45" s="15" t="inlineStr">
        <is>
          <t>Direct</t>
        </is>
      </c>
      <c r="I45" s="15" t="inlineStr">
        <is>
          <t>tbl_project_task_users.allot_percentage</t>
        </is>
      </c>
      <c r="J45" s="15" t="inlineStr">
        <is>
          <t>Mapped – Direct Schema</t>
        </is>
      </c>
      <c r="K45" s="15" t="inlineStr">
        <is>
          <t>Confirm whether total may exceed 100%.</t>
        </is>
      </c>
      <c r="L45" s="15" t="inlineStr">
        <is>
          <t>SELECT u.user_id, CONCAT_WS(' ', u.first_name, u.last_name) AS employee_name, tu.allot_percentage FROM tbl_project_tasks t JOIN tbl_project_task_users tu ON tu.task_id = t.task_id JOIN tbl_users u ON u.user_id = tu.user_id WHERE t.reference_no = :task_reference AND tu.status = 1 ORDER BY tu.allot_percentage DESC, employee_name;</t>
        </is>
      </c>
      <c r="M45" s="15" t="inlineStr">
        <is>
          <t>Pending</t>
        </is>
      </c>
      <c r="N45" s="15" t="inlineStr">
        <is>
          <t>Mapped from schema</t>
        </is>
      </c>
      <c r="O45" s="16" t="n"/>
      <c r="P45" s="15" t="inlineStr">
        <is>
          <t>—</t>
        </is>
      </c>
      <c r="Q45" s="15" t="inlineStr">
        <is>
          <t>Data Available</t>
        </is>
      </c>
      <c r="R45" s="15" t="inlineStr">
        <is>
          <t>Ready for Verification</t>
        </is>
      </c>
    </row>
    <row r="46">
      <c r="A46" s="6" t="n">
        <v>45</v>
      </c>
      <c r="B46" s="15" t="inlineStr">
        <is>
          <t>Tasks</t>
        </is>
      </c>
      <c r="C46" s="15" t="inlineStr">
        <is>
          <t>tasks_without_due_date</t>
        </is>
      </c>
      <c r="D46" s="15" t="inlineStr">
        <is>
          <t>Which open tasks have no due date?</t>
        </is>
      </c>
      <c r="E46" s="15" t="inlineStr">
        <is>
          <t>Show pending tasks missing deadlines.</t>
        </is>
      </c>
      <c r="F46" s="15" t="inlineStr">
        <is>
          <t>List tasks without a due date.</t>
        </is>
      </c>
      <c r="G46" s="15" t="inlineStr">
        <is>
          <t>project_scope</t>
        </is>
      </c>
      <c r="H46" s="15" t="inlineStr">
        <is>
          <t>Derived</t>
        </is>
      </c>
      <c r="I46" s="15" t="inlineStr">
        <is>
          <t>tasks; task status</t>
        </is>
      </c>
      <c r="J46" s="15" t="inlineStr">
        <is>
          <t>Not Applicable – Non-Direct Support</t>
        </is>
      </c>
      <c r="K46" s="15" t="inlineStr">
        <is>
          <t>Define open statuses.</t>
        </is>
      </c>
      <c r="L46" s="16" t="n"/>
      <c r="M46" s="15" t="inlineStr">
        <is>
          <t>Pending</t>
        </is>
      </c>
      <c r="N46" s="15" t="inlineStr">
        <is>
          <t>Not applicable: schema support is not Direct.</t>
        </is>
      </c>
      <c r="O46" s="16" t="n"/>
      <c r="P46" s="15" t="inlineStr">
        <is>
          <t>—</t>
        </is>
      </c>
      <c r="Q46" s="15" t="inlineStr">
        <is>
          <t>N/A</t>
        </is>
      </c>
      <c r="R46" s="15" t="inlineStr">
        <is>
          <t>Blocked — Business Rule / Schema Gap</t>
        </is>
      </c>
    </row>
    <row r="47">
      <c r="A47" s="6" t="n">
        <v>46</v>
      </c>
      <c r="B47" s="15" t="inlineStr">
        <is>
          <t>Tasks</t>
        </is>
      </c>
      <c r="C47" s="15" t="inlineStr">
        <is>
          <t>task_progress</t>
        </is>
      </c>
      <c r="D47" s="15" t="inlineStr">
        <is>
          <t>What is the completion percentage of task :task_reference?</t>
        </is>
      </c>
      <c r="E47" s="15" t="inlineStr">
        <is>
          <t>Show progress for :task_reference.</t>
        </is>
      </c>
      <c r="F47" s="15" t="inlineStr">
        <is>
          <t>How complete is :task_reference?</t>
        </is>
      </c>
      <c r="G47" s="15" t="inlineStr">
        <is>
          <t>task_reference</t>
        </is>
      </c>
      <c r="H47" s="15" t="inlineStr">
        <is>
          <t>Direct</t>
        </is>
      </c>
      <c r="I47" s="15" t="inlineStr">
        <is>
          <t>tbl_project_tasks.percent_complete</t>
        </is>
      </c>
      <c r="J47" s="15" t="inlineStr">
        <is>
          <t>Mapped – Direct Schema</t>
        </is>
      </c>
      <c r="K47" s="15" t="inlineStr">
        <is>
          <t>Validate scale 0–100.</t>
        </is>
      </c>
      <c r="L47" s="15" t="inlineStr">
        <is>
          <t>SELECT t.task_id, t.reference_no, t.title, t.percent_complete, ts.status_name, t.update_date FROM tbl_project_tasks t LEFT JOIN tbl_project_task_status ts ON ts.task_status_id = t.task_status_id WHERE t.reference_no = :task_reference AND t.status = 1 AND t.archive = 0;</t>
        </is>
      </c>
      <c r="M47" s="15" t="inlineStr">
        <is>
          <t>Pending</t>
        </is>
      </c>
      <c r="N47" s="15" t="inlineStr">
        <is>
          <t>Mapped from schema</t>
        </is>
      </c>
      <c r="O47" s="16" t="n"/>
      <c r="P47" s="15" t="inlineStr">
        <is>
          <t>—</t>
        </is>
      </c>
      <c r="Q47" s="15" t="inlineStr">
        <is>
          <t>Data Available</t>
        </is>
      </c>
      <c r="R47" s="15" t="inlineStr">
        <is>
          <t>Ready for Verification</t>
        </is>
      </c>
    </row>
    <row r="48">
      <c r="A48" s="6" t="n">
        <v>47</v>
      </c>
      <c r="B48" s="15" t="inlineStr">
        <is>
          <t>Tasks</t>
        </is>
      </c>
      <c r="C48" s="15" t="inlineStr">
        <is>
          <t>task_estimate_vs_actual</t>
        </is>
      </c>
      <c r="D48" s="15" t="inlineStr">
        <is>
          <t>Compare estimate and actual hours for task :task_reference.</t>
        </is>
      </c>
      <c r="E48" s="15" t="inlineStr">
        <is>
          <t>Show planned versus actual effort for :task_reference.</t>
        </is>
      </c>
      <c r="F48" s="15" t="inlineStr">
        <is>
          <t>Is :task_reference over its estimate?</t>
        </is>
      </c>
      <c r="G48" s="15" t="inlineStr">
        <is>
          <t>task_reference</t>
        </is>
      </c>
      <c r="H48" s="15" t="inlineStr">
        <is>
          <t>Direct</t>
        </is>
      </c>
      <c r="I48" s="15" t="inlineStr">
        <is>
          <t>tbl_project_tasks.estimate; actual_hours</t>
        </is>
      </c>
      <c r="J48" s="15" t="inlineStr">
        <is>
          <t>Mapped – Direct Schema</t>
        </is>
      </c>
      <c r="K48" s="15" t="inlineStr">
        <is>
          <t>Confirm units.</t>
        </is>
      </c>
      <c r="L48" s="15" t="inlineStr">
        <is>
          <t>SELECT t.task_id, t.reference_no, t.title, t.estimate AS estimated_hours, t.actual_hours, (t.actual_hours - t.estimate) AS variance_hours, t.estimate_complete AS remaining_estimate_hours FROM tbl_project_tasks t WHERE t.reference_no = :task_reference AND t.status = 1 AND t.archive = 0;</t>
        </is>
      </c>
      <c r="M48" s="15" t="inlineStr">
        <is>
          <t>Pending</t>
        </is>
      </c>
      <c r="N48" s="15" t="inlineStr">
        <is>
          <t>Mapped from schema</t>
        </is>
      </c>
      <c r="O48" s="16" t="n"/>
      <c r="P48" s="15" t="inlineStr">
        <is>
          <t>—</t>
        </is>
      </c>
      <c r="Q48" s="15" t="inlineStr">
        <is>
          <t>Data Available</t>
        </is>
      </c>
      <c r="R48" s="15" t="inlineStr">
        <is>
          <t>Ready for Verification</t>
        </is>
      </c>
    </row>
    <row r="49">
      <c r="A49" s="6" t="n">
        <v>48</v>
      </c>
      <c r="B49" s="15" t="inlineStr">
        <is>
          <t>Tasks</t>
        </is>
      </c>
      <c r="C49" s="15" t="inlineStr">
        <is>
          <t>tasks_over_estimate</t>
        </is>
      </c>
      <c r="D49" s="15" t="inlineStr">
        <is>
          <t>Which tasks have exceeded their estimated hours?</t>
        </is>
      </c>
      <c r="E49" s="15" t="inlineStr">
        <is>
          <t>Show tasks where actual hours are above estimate.</t>
        </is>
      </c>
      <c r="F49" s="15" t="inlineStr">
        <is>
          <t>List effort-overrun tasks.</t>
        </is>
      </c>
      <c r="G49" s="15" t="inlineStr">
        <is>
          <t>project_scope</t>
        </is>
      </c>
      <c r="H49" s="15" t="inlineStr">
        <is>
          <t>Derived</t>
        </is>
      </c>
      <c r="I49" s="15" t="inlineStr">
        <is>
          <t>tbl_project_tasks.estimate; actual_hours</t>
        </is>
      </c>
      <c r="J49" s="15" t="inlineStr">
        <is>
          <t>Not Applicable – Non-Direct Support</t>
        </is>
      </c>
      <c r="K49" s="15" t="inlineStr">
        <is>
          <t>Null/zero estimate handling.</t>
        </is>
      </c>
      <c r="L49" s="16" t="n"/>
      <c r="M49" s="15" t="inlineStr">
        <is>
          <t>Pending</t>
        </is>
      </c>
      <c r="N49" s="15" t="inlineStr">
        <is>
          <t>Not applicable: schema support is not Direct.</t>
        </is>
      </c>
      <c r="O49" s="16" t="n"/>
      <c r="P49" s="15" t="inlineStr">
        <is>
          <t>—</t>
        </is>
      </c>
      <c r="Q49" s="15" t="inlineStr">
        <is>
          <t>N/A</t>
        </is>
      </c>
      <c r="R49" s="15" t="inlineStr">
        <is>
          <t>Blocked — Business Rule / Schema Gap</t>
        </is>
      </c>
    </row>
    <row r="50">
      <c r="A50" s="6" t="n">
        <v>49</v>
      </c>
      <c r="B50" s="15" t="inlineStr">
        <is>
          <t>Tasks</t>
        </is>
      </c>
      <c r="C50" s="15" t="inlineStr">
        <is>
          <t>recently_updated_tasks</t>
        </is>
      </c>
      <c r="D50" s="15" t="inlineStr">
        <is>
          <t>Which tasks were updated in the last :days days?</t>
        </is>
      </c>
      <c r="E50" s="15" t="inlineStr">
        <is>
          <t>Show recently changed tasks.</t>
        </is>
      </c>
      <c r="F50" s="15" t="inlineStr">
        <is>
          <t>List tasks updated recently.</t>
        </is>
      </c>
      <c r="G50" s="15" t="inlineStr">
        <is>
          <t>days</t>
        </is>
      </c>
      <c r="H50" s="15" t="inlineStr">
        <is>
          <t>Direct</t>
        </is>
      </c>
      <c r="I50" s="15" t="inlineStr">
        <is>
          <t>tbl_project_tasks.update_date</t>
        </is>
      </c>
      <c r="J50" s="15" t="inlineStr">
        <is>
          <t>Mapped – Direct Schema</t>
        </is>
      </c>
      <c r="K50" s="15" t="inlineStr">
        <is>
          <t>Visibility scope required.</t>
        </is>
      </c>
      <c r="L50" s="15" t="inlineStr">
        <is>
          <t>SELECT t.task_id, t.reference_no, t.title, p.title AS project_title, t.update_date, ts.status_name, t.percent_complete FROM tbl_project_tasks t JOIN tbl_projects p ON p.project_id = t.project_id LEFT JOIN tbl_project_task_status ts ON ts.task_status_id = t.task_status_id WHERE t.update_date &gt;= DATE_SUB(NOW(), INTERVAL :days DAY) AND t.status = 1 AND t.archive = 0 ORDER BY t.update_date DESC;</t>
        </is>
      </c>
      <c r="M50" s="15" t="inlineStr">
        <is>
          <t>Pending</t>
        </is>
      </c>
      <c r="N50" s="15" t="inlineStr">
        <is>
          <t>Mapped from schema</t>
        </is>
      </c>
      <c r="O50" s="16" t="n"/>
      <c r="P50" s="15" t="inlineStr">
        <is>
          <t>—</t>
        </is>
      </c>
      <c r="Q50" s="15" t="inlineStr">
        <is>
          <t>Data Available</t>
        </is>
      </c>
      <c r="R50" s="15" t="inlineStr">
        <is>
          <t>Ready for Verification</t>
        </is>
      </c>
    </row>
    <row r="51">
      <c r="A51" s="6" t="n">
        <v>50</v>
      </c>
      <c r="B51" s="15" t="inlineStr">
        <is>
          <t>Tasks</t>
        </is>
      </c>
      <c r="C51" s="15" t="inlineStr">
        <is>
          <t>stale_open_tasks</t>
        </is>
      </c>
      <c r="D51" s="15" t="inlineStr">
        <is>
          <t>Which open tasks have not been updated in :days days?</t>
        </is>
      </c>
      <c r="E51" s="15" t="inlineStr">
        <is>
          <t>Show stale pending tasks.</t>
        </is>
      </c>
      <c r="F51" s="15" t="inlineStr">
        <is>
          <t>List inactive open tasks.</t>
        </is>
      </c>
      <c r="G51" s="15" t="inlineStr">
        <is>
          <t>days</t>
        </is>
      </c>
      <c r="H51" s="15" t="inlineStr">
        <is>
          <t>Derived</t>
        </is>
      </c>
      <c r="I51" s="15" t="inlineStr">
        <is>
          <t>tasks; task status</t>
        </is>
      </c>
      <c r="J51" s="15" t="inlineStr">
        <is>
          <t>Not Applicable – Non-Direct Support</t>
        </is>
      </c>
      <c r="K51" s="15" t="inlineStr">
        <is>
          <t>Define open statuses.</t>
        </is>
      </c>
      <c r="L51" s="16" t="n"/>
      <c r="M51" s="15" t="inlineStr">
        <is>
          <t>Pending</t>
        </is>
      </c>
      <c r="N51" s="15" t="inlineStr">
        <is>
          <t>Not applicable: schema support is not Direct.</t>
        </is>
      </c>
      <c r="O51" s="16" t="n"/>
      <c r="P51" s="15" t="inlineStr">
        <is>
          <t>—</t>
        </is>
      </c>
      <c r="Q51" s="15" t="inlineStr">
        <is>
          <t>N/A</t>
        </is>
      </c>
      <c r="R51" s="15" t="inlineStr">
        <is>
          <t>Blocked — Business Rule / Schema Gap</t>
        </is>
      </c>
    </row>
    <row r="52">
      <c r="A52" s="6" t="n">
        <v>51</v>
      </c>
      <c r="B52" s="15" t="inlineStr">
        <is>
          <t>Tasks</t>
        </is>
      </c>
      <c r="C52" s="15" t="inlineStr">
        <is>
          <t>task_status_counts</t>
        </is>
      </c>
      <c r="D52" s="15" t="inlineStr">
        <is>
          <t>Show task counts by status for :project_name.</t>
        </is>
      </c>
      <c r="E52" s="15" t="inlineStr">
        <is>
          <t>Summarize tasks by workflow status for :project_name.</t>
        </is>
      </c>
      <c r="F52" s="15" t="inlineStr">
        <is>
          <t>How many tasks are in each status for :project_name?</t>
        </is>
      </c>
      <c r="G52" s="15" t="inlineStr">
        <is>
          <t>project_name</t>
        </is>
      </c>
      <c r="H52" s="15" t="inlineStr">
        <is>
          <t>Direct</t>
        </is>
      </c>
      <c r="I52" s="15" t="inlineStr">
        <is>
          <t>tasks; task status</t>
        </is>
      </c>
      <c r="J52" s="15" t="inlineStr">
        <is>
          <t>Mapped – Direct Schema</t>
        </is>
      </c>
      <c r="K52" s="15" t="inlineStr">
        <is>
          <t>Lookup data required.</t>
        </is>
      </c>
      <c r="L52" s="15" t="inlineStr">
        <is>
          <t>SELECT ts.task_status_id, ts.status_name, ts.status_type, COUNT(*) AS task_count FROM tbl_project_tasks t JOIN tbl_projects p ON p.project_id = t.project_id LEFT JOIN tbl_project_task_status ts ON ts.task_status_id = t.task_status_id WHERE p.title = :project_name AND t.status = 1 AND t.archive = 0 GROUP BY ts.task_status_id, ts.status_name, ts.status_type ORDER BY ts.status_order, ts.status_name;</t>
        </is>
      </c>
      <c r="M52" s="15" t="inlineStr">
        <is>
          <t>Pending</t>
        </is>
      </c>
      <c r="N52" s="15" t="inlineStr">
        <is>
          <t>Mapped from schema</t>
        </is>
      </c>
      <c r="O52" s="16" t="n"/>
      <c r="P52" s="15" t="inlineStr">
        <is>
          <t>—</t>
        </is>
      </c>
      <c r="Q52" s="15" t="inlineStr">
        <is>
          <t>Data Available</t>
        </is>
      </c>
      <c r="R52" s="15" t="inlineStr">
        <is>
          <t>Ready for Verification</t>
        </is>
      </c>
    </row>
    <row r="53">
      <c r="A53" s="6" t="n">
        <v>52</v>
      </c>
      <c r="B53" s="15" t="inlineStr">
        <is>
          <t>Tasks</t>
        </is>
      </c>
      <c r="C53" s="15" t="inlineStr">
        <is>
          <t>task_workload_by_user</t>
        </is>
      </c>
      <c r="D53" s="15" t="inlineStr">
        <is>
          <t>Show task workload by user for :project_name.</t>
        </is>
      </c>
      <c r="E53" s="15" t="inlineStr">
        <is>
          <t>How many tasks does each person have on :project_name?</t>
        </is>
      </c>
      <c r="F53" s="15" t="inlineStr">
        <is>
          <t>Summarize assigned tasks by team member.</t>
        </is>
      </c>
      <c r="G53" s="15" t="inlineStr">
        <is>
          <t>project_name</t>
        </is>
      </c>
      <c r="H53" s="15" t="inlineStr">
        <is>
          <t>Derived</t>
        </is>
      </c>
      <c r="I53" s="15" t="inlineStr">
        <is>
          <t>tasks; task users; users</t>
        </is>
      </c>
      <c r="J53" s="15" t="inlineStr">
        <is>
          <t>Not Applicable – Non-Direct Support</t>
        </is>
      </c>
      <c r="K53" s="15" t="inlineStr">
        <is>
          <t>Define whether workload means count, estimate, or allocation percentage.</t>
        </is>
      </c>
      <c r="L53" s="16" t="n"/>
      <c r="M53" s="15" t="inlineStr">
        <is>
          <t>Pending</t>
        </is>
      </c>
      <c r="N53" s="15" t="inlineStr">
        <is>
          <t>Not applicable: schema support is not Direct.</t>
        </is>
      </c>
      <c r="O53" s="16" t="n"/>
      <c r="P53" s="15" t="inlineStr">
        <is>
          <t>—</t>
        </is>
      </c>
      <c r="Q53" s="15" t="inlineStr">
        <is>
          <t>N/A</t>
        </is>
      </c>
      <c r="R53" s="15" t="inlineStr">
        <is>
          <t>Blocked — Business Rule / Schema Gap</t>
        </is>
      </c>
    </row>
    <row r="54">
      <c r="A54" s="6" t="n">
        <v>53</v>
      </c>
      <c r="B54" s="15" t="inlineStr">
        <is>
          <t>Timesheets</t>
        </is>
      </c>
      <c r="C54" s="15" t="inlineStr">
        <is>
          <t>my_logged_hours_today</t>
        </is>
      </c>
      <c r="D54" s="15" t="inlineStr">
        <is>
          <t>How many hours did I log today?</t>
        </is>
      </c>
      <c r="E54" s="15" t="inlineStr">
        <is>
          <t>Show my time entries for today.</t>
        </is>
      </c>
      <c r="F54" s="15" t="inlineStr">
        <is>
          <t>What is my total logged time today?</t>
        </is>
      </c>
      <c r="G54" s="15" t="inlineStr">
        <is>
          <t>current_user, current_date</t>
        </is>
      </c>
      <c r="H54" s="15" t="inlineStr">
        <is>
          <t>Direct</t>
        </is>
      </c>
      <c r="I54" s="15" t="inlineStr">
        <is>
          <t>tbl_timesheets</t>
        </is>
      </c>
      <c r="J54" s="15" t="inlineStr">
        <is>
          <t>Mapped – Direct Schema</t>
        </is>
      </c>
      <c r="K54" s="15" t="inlineStr">
        <is>
          <t>Combine hours and minutes.</t>
        </is>
      </c>
      <c r="L54" s="15" t="inlineStr">
        <is>
          <t>SELECT ts.user_id, ts.timesheet_date, SUM(ts.hours * 60 + ts.minutes) / 60.0 AS total_hours FROM tbl_timesheets ts WHERE ts.user_id = :current_user_id AND ts.timesheet_date = CURRENT_DATE GROUP BY ts.user_id, ts.timesheet_date;</t>
        </is>
      </c>
      <c r="M54" s="15" t="inlineStr">
        <is>
          <t>Pending</t>
        </is>
      </c>
      <c r="N54" s="15" t="inlineStr">
        <is>
          <t>Mapped from schema</t>
        </is>
      </c>
      <c r="O54" s="16" t="n"/>
      <c r="P54" s="15" t="inlineStr">
        <is>
          <t>—</t>
        </is>
      </c>
      <c r="Q54" s="15" t="inlineStr">
        <is>
          <t>Data Available</t>
        </is>
      </c>
      <c r="R54" s="15" t="inlineStr">
        <is>
          <t>Ready for Verification</t>
        </is>
      </c>
    </row>
    <row r="55">
      <c r="A55" s="6" t="n">
        <v>54</v>
      </c>
      <c r="B55" s="15" t="inlineStr">
        <is>
          <t>Timesheets</t>
        </is>
      </c>
      <c r="C55" s="15" t="inlineStr">
        <is>
          <t>my_logged_hours_period</t>
        </is>
      </c>
      <c r="D55" s="15" t="inlineStr">
        <is>
          <t>How many hours did I log between :start_date and :end_date?</t>
        </is>
      </c>
      <c r="E55" s="15" t="inlineStr">
        <is>
          <t>Show my logged time for the selected period.</t>
        </is>
      </c>
      <c r="F55" s="15" t="inlineStr">
        <is>
          <t>Total my timesheet hours for the period.</t>
        </is>
      </c>
      <c r="G55" s="15" t="inlineStr">
        <is>
          <t>current_user, start_date, end_date</t>
        </is>
      </c>
      <c r="H55" s="15" t="inlineStr">
        <is>
          <t>Direct</t>
        </is>
      </c>
      <c r="I55" s="15" t="inlineStr">
        <is>
          <t>tbl_timesheets</t>
        </is>
      </c>
      <c r="J55" s="15" t="inlineStr">
        <is>
          <t>Mapped – Direct Schema</t>
        </is>
      </c>
      <c r="K55" s="15" t="inlineStr">
        <is>
          <t>Combine hours and minutes.</t>
        </is>
      </c>
      <c r="L55" s="15" t="inlineStr">
        <is>
          <t>SELECT ts.user_id, SUM(ts.hours * 60 + ts.minutes) / 60.0 AS total_hours FROM tbl_timesheets ts WHERE ts.user_id = :current_user_id AND ts.timesheet_date BETWEEN :start_date AND :end_date GROUP BY ts.user_id;</t>
        </is>
      </c>
      <c r="M55" s="15" t="inlineStr">
        <is>
          <t>Pending</t>
        </is>
      </c>
      <c r="N55" s="15" t="inlineStr">
        <is>
          <t>Mapped from schema</t>
        </is>
      </c>
      <c r="O55" s="16" t="n"/>
      <c r="P55" s="15" t="inlineStr">
        <is>
          <t>—</t>
        </is>
      </c>
      <c r="Q55" s="15" t="inlineStr">
        <is>
          <t>Data Available</t>
        </is>
      </c>
      <c r="R55" s="15" t="inlineStr">
        <is>
          <t>Ready for Verification</t>
        </is>
      </c>
    </row>
    <row r="56">
      <c r="A56" s="6" t="n">
        <v>55</v>
      </c>
      <c r="B56" s="15" t="inlineStr">
        <is>
          <t>Timesheets</t>
        </is>
      </c>
      <c r="C56" s="15" t="inlineStr">
        <is>
          <t>employee_logged_hours</t>
        </is>
      </c>
      <c r="D56" s="15" t="inlineStr">
        <is>
          <t>Show hours logged by :employee_name between :start_date and :end_date.</t>
        </is>
      </c>
      <c r="E56" s="15" t="inlineStr">
        <is>
          <t>How much time did :employee_name record?</t>
        </is>
      </c>
      <c r="F56" s="15" t="inlineStr">
        <is>
          <t>List :employee_name’s timesheet total.</t>
        </is>
      </c>
      <c r="G56" s="15" t="inlineStr">
        <is>
          <t>employee_name, start_date, end_date</t>
        </is>
      </c>
      <c r="H56" s="15" t="inlineStr">
        <is>
          <t>Direct</t>
        </is>
      </c>
      <c r="I56" s="15" t="inlineStr">
        <is>
          <t>tbl_timesheets; tbl_users</t>
        </is>
      </c>
      <c r="J56" s="15" t="inlineStr">
        <is>
          <t>Mapped – Direct Schema</t>
        </is>
      </c>
      <c r="K56" s="15" t="inlineStr">
        <is>
          <t>RBAC needed for manager access.</t>
        </is>
      </c>
      <c r="L56" s="15" t="inlineStr">
        <is>
          <t>SELECT u.user_id, CONCAT_WS(' ', u.first_name, u.last_name) AS employee_name, SUM(ts.hours * 60 + ts.minutes) / 60.0 AS total_hours FROM tbl_users u JOIN tbl_timesheets ts ON ts.user_id = u.user_id WHERE CONCAT_WS(' ', u.first_name, u.last_name) = :employee_name AND ts.timesheet_date BETWEEN :start_date AND :end_date GROUP BY u.user_id, u.first_name, u.last_name;</t>
        </is>
      </c>
      <c r="M56" s="15" t="inlineStr">
        <is>
          <t>Pending</t>
        </is>
      </c>
      <c r="N56" s="15" t="inlineStr">
        <is>
          <t>Mapped from schema</t>
        </is>
      </c>
      <c r="O56" s="16" t="n"/>
      <c r="P56" s="15" t="inlineStr">
        <is>
          <t>—</t>
        </is>
      </c>
      <c r="Q56" s="15" t="inlineStr">
        <is>
          <t>Data Available</t>
        </is>
      </c>
      <c r="R56" s="15" t="inlineStr">
        <is>
          <t>Ready for Verification</t>
        </is>
      </c>
    </row>
    <row r="57">
      <c r="A57" s="6" t="n">
        <v>56</v>
      </c>
      <c r="B57" s="15" t="inlineStr">
        <is>
          <t>Timesheets</t>
        </is>
      </c>
      <c r="C57" s="15" t="inlineStr">
        <is>
          <t>project_logged_hours</t>
        </is>
      </c>
      <c r="D57" s="15" t="inlineStr">
        <is>
          <t>How many hours were logged on :project_name between :start_date and :end_date?</t>
        </is>
      </c>
      <c r="E57" s="15" t="inlineStr">
        <is>
          <t>Show total project time for the period.</t>
        </is>
      </c>
      <c r="F57" s="15" t="inlineStr">
        <is>
          <t>What is the booked effort on :project_name?</t>
        </is>
      </c>
      <c r="G57" s="15" t="inlineStr">
        <is>
          <t>project_name, start_date, end_date</t>
        </is>
      </c>
      <c r="H57" s="15" t="inlineStr">
        <is>
          <t>Direct</t>
        </is>
      </c>
      <c r="I57" s="15" t="inlineStr">
        <is>
          <t>tbl_timesheets; tasks; projects</t>
        </is>
      </c>
      <c r="J57" s="15" t="inlineStr">
        <is>
          <t>Mapped – Direct Schema</t>
        </is>
      </c>
      <c r="K57" s="15" t="inlineStr">
        <is>
          <t>Timesheet links to project through task.</t>
        </is>
      </c>
      <c r="L57" s="15" t="inlineStr">
        <is>
          <t>SELECT p.project_id, p.title AS project_title, SUM(ts.hours * 60 + ts.minutes) / 60.0 AS total_hours FROM tbl_timesheets ts JOIN tbl_project_tasks t ON t.task_id = ts.task_id JOIN tbl_projects p ON p.project_id = t.project_id WHERE p.title = :project_name AND ts.timesheet_date BETWEEN :start_date AND :end_date GROUP BY p.project_id, p.title;</t>
        </is>
      </c>
      <c r="M57" s="15" t="inlineStr">
        <is>
          <t>Pending</t>
        </is>
      </c>
      <c r="N57" s="15" t="inlineStr">
        <is>
          <t>Mapped from schema</t>
        </is>
      </c>
      <c r="O57" s="16" t="n"/>
      <c r="P57" s="15" t="inlineStr">
        <is>
          <t>—</t>
        </is>
      </c>
      <c r="Q57" s="15" t="inlineStr">
        <is>
          <t>Data Available</t>
        </is>
      </c>
      <c r="R57" s="15" t="inlineStr">
        <is>
          <t>Ready for Verification</t>
        </is>
      </c>
    </row>
    <row r="58">
      <c r="A58" s="6" t="n">
        <v>57</v>
      </c>
      <c r="B58" s="15" t="inlineStr">
        <is>
          <t>Timesheets</t>
        </is>
      </c>
      <c r="C58" s="15" t="inlineStr">
        <is>
          <t>project_hours_by_user</t>
        </is>
      </c>
      <c r="D58" s="15" t="inlineStr">
        <is>
          <t>Show hours by user for :project_name.</t>
        </is>
      </c>
      <c r="E58" s="15" t="inlineStr">
        <is>
          <t>Who logged how much time on :project_name?</t>
        </is>
      </c>
      <c r="F58" s="15" t="inlineStr">
        <is>
          <t>Break down project hours by team member.</t>
        </is>
      </c>
      <c r="G58" s="15" t="inlineStr">
        <is>
          <t>project_name, start_date, end_date</t>
        </is>
      </c>
      <c r="H58" s="15" t="inlineStr">
        <is>
          <t>Direct</t>
        </is>
      </c>
      <c r="I58" s="15" t="inlineStr">
        <is>
          <t>timesheets; tasks; users</t>
        </is>
      </c>
      <c r="J58" s="15" t="inlineStr">
        <is>
          <t>Mapped – Direct Schema</t>
        </is>
      </c>
      <c r="K58" s="15" t="inlineStr">
        <is>
          <t>Date period should be mandatory or defaulted.</t>
        </is>
      </c>
      <c r="L58" s="15" t="inlineStr">
        <is>
          <t>SELECT u.user_id, CONCAT_WS(' ', u.first_name, u.last_name) AS employee_name, SUM(ts.hours * 60 + ts.minutes) / 60.0 AS total_hours FROM tbl_timesheets ts JOIN tbl_project_tasks t ON t.task_id = ts.task_id JOIN tbl_projects p ON p.project_id = t.project_id JOIN tbl_users u ON u.user_id = ts.user_id WHERE p.title = :project_name AND ts.timesheet_date BETWEEN :start_date AND :end_date GROUP BY u.user_id, u.first_name, u.last_name ORDER BY total_hours DESC;</t>
        </is>
      </c>
      <c r="M58" s="15" t="inlineStr">
        <is>
          <t>Pending</t>
        </is>
      </c>
      <c r="N58" s="15" t="inlineStr">
        <is>
          <t>Mapped from schema</t>
        </is>
      </c>
      <c r="O58" s="16" t="n"/>
      <c r="P58" s="15" t="inlineStr">
        <is>
          <t>—</t>
        </is>
      </c>
      <c r="Q58" s="15" t="inlineStr">
        <is>
          <t>Data Available</t>
        </is>
      </c>
      <c r="R58" s="15" t="inlineStr">
        <is>
          <t>Ready for Verification</t>
        </is>
      </c>
    </row>
    <row r="59">
      <c r="A59" s="6" t="n">
        <v>58</v>
      </c>
      <c r="B59" s="15" t="inlineStr">
        <is>
          <t>Timesheets</t>
        </is>
      </c>
      <c r="C59" s="15" t="inlineStr">
        <is>
          <t>hours_by_task</t>
        </is>
      </c>
      <c r="D59" s="15" t="inlineStr">
        <is>
          <t>How many hours were logged against task :task_reference?</t>
        </is>
      </c>
      <c r="E59" s="15" t="inlineStr">
        <is>
          <t>Show booked time for :task_reference.</t>
        </is>
      </c>
      <c r="F59" s="15" t="inlineStr">
        <is>
          <t>What is the total effort recorded on :task_reference?</t>
        </is>
      </c>
      <c r="G59" s="15" t="inlineStr">
        <is>
          <t>task_reference, start_date, end_date</t>
        </is>
      </c>
      <c r="H59" s="15" t="inlineStr">
        <is>
          <t>Direct</t>
        </is>
      </c>
      <c r="I59" s="15" t="inlineStr">
        <is>
          <t>tbl_timesheets; tasks</t>
        </is>
      </c>
      <c r="J59" s="15" t="inlineStr">
        <is>
          <t>Mapped – Direct Schema</t>
        </is>
      </c>
      <c r="K59" s="15" t="inlineStr">
        <is>
          <t>Combine hours and minutes.</t>
        </is>
      </c>
      <c r="L59" s="15" t="inlineStr">
        <is>
          <t>SELECT t.task_id, t.reference_no, t.title, SUM(ts.hours * 60 + ts.minutes) / 60.0 AS total_hours FROM tbl_project_tasks t LEFT JOIN tbl_timesheets ts ON ts.task_id = t.task_id WHERE t.reference_no = :task_reference GROUP BY t.task_id, t.reference_no, t.title;</t>
        </is>
      </c>
      <c r="M59" s="15" t="inlineStr">
        <is>
          <t>Pending</t>
        </is>
      </c>
      <c r="N59" s="15" t="inlineStr">
        <is>
          <t>Mapped from schema</t>
        </is>
      </c>
      <c r="O59" s="16" t="n"/>
      <c r="P59" s="15" t="inlineStr">
        <is>
          <t>—</t>
        </is>
      </c>
      <c r="Q59" s="15" t="inlineStr">
        <is>
          <t>Data Available</t>
        </is>
      </c>
      <c r="R59" s="15" t="inlineStr">
        <is>
          <t>Ready for Verification</t>
        </is>
      </c>
    </row>
    <row r="60">
      <c r="A60" s="6" t="n">
        <v>59</v>
      </c>
      <c r="B60" s="15" t="inlineStr">
        <is>
          <t>Timesheets</t>
        </is>
      </c>
      <c r="C60" s="15" t="inlineStr">
        <is>
          <t>timesheet_entries_by_task_type</t>
        </is>
      </c>
      <c r="D60" s="15" t="inlineStr">
        <is>
          <t>Show logged hours by project task type.</t>
        </is>
      </c>
      <c r="E60" s="15" t="inlineStr">
        <is>
          <t>Break down timesheet hours by task type.</t>
        </is>
      </c>
      <c r="F60" s="15" t="inlineStr">
        <is>
          <t>How much time was recorded for each task type?</t>
        </is>
      </c>
      <c r="G60" s="15" t="inlineStr">
        <is>
          <t>start_date, end_date</t>
        </is>
      </c>
      <c r="H60" s="15" t="inlineStr">
        <is>
          <t>Partial</t>
        </is>
      </c>
      <c r="I60" s="15" t="inlineStr">
        <is>
          <t>tbl_timesheets.project_task_type_id</t>
        </is>
      </c>
      <c r="J60" s="15" t="inlineStr">
        <is>
          <t>Not Applicable – Non-Direct Support</t>
        </is>
      </c>
      <c r="K60" s="15" t="inlineStr">
        <is>
          <t>Task-type reference table must be confirmed.</t>
        </is>
      </c>
      <c r="L60" s="16" t="n"/>
      <c r="M60" s="15" t="inlineStr">
        <is>
          <t>Pending</t>
        </is>
      </c>
      <c r="N60" s="15" t="inlineStr">
        <is>
          <t>Not applicable: schema support is not Direct.</t>
        </is>
      </c>
      <c r="O60" s="16" t="n"/>
      <c r="P60" s="15" t="inlineStr">
        <is>
          <t>—</t>
        </is>
      </c>
      <c r="Q60" s="15" t="inlineStr">
        <is>
          <t>N/A</t>
        </is>
      </c>
      <c r="R60" s="15" t="inlineStr">
        <is>
          <t>Blocked — Business Rule / Schema Gap</t>
        </is>
      </c>
    </row>
    <row r="61">
      <c r="A61" s="6" t="n">
        <v>60</v>
      </c>
      <c r="B61" s="15" t="inlineStr">
        <is>
          <t>Timesheets</t>
        </is>
      </c>
      <c r="C61" s="15" t="inlineStr">
        <is>
          <t>users_without_time_entries</t>
        </is>
      </c>
      <c r="D61" s="15" t="inlineStr">
        <is>
          <t>Who has no timesheet entries for :date?</t>
        </is>
      </c>
      <c r="E61" s="15" t="inlineStr">
        <is>
          <t>Show users who did not log time on :date.</t>
        </is>
      </c>
      <c r="F61" s="15" t="inlineStr">
        <is>
          <t>List missing time entries for :date.</t>
        </is>
      </c>
      <c r="G61" s="15" t="inlineStr">
        <is>
          <t>date, population_scope</t>
        </is>
      </c>
      <c r="H61" s="15" t="inlineStr">
        <is>
          <t>Derived</t>
        </is>
      </c>
      <c r="I61" s="15" t="inlineStr">
        <is>
          <t>tbl_users; tbl_timesheets</t>
        </is>
      </c>
      <c r="J61" s="15" t="inlineStr">
        <is>
          <t>Not Applicable – Non-Direct Support</t>
        </is>
      </c>
      <c r="K61" s="15" t="inlineStr">
        <is>
          <t>Define expected population, working days, leave, and active users.</t>
        </is>
      </c>
      <c r="L61" s="16" t="n"/>
      <c r="M61" s="15" t="inlineStr">
        <is>
          <t>Pending</t>
        </is>
      </c>
      <c r="N61" s="15" t="inlineStr">
        <is>
          <t>Not applicable: schema support is not Direct.</t>
        </is>
      </c>
      <c r="O61" s="16" t="n"/>
      <c r="P61" s="15" t="inlineStr">
        <is>
          <t>—</t>
        </is>
      </c>
      <c r="Q61" s="15" t="inlineStr">
        <is>
          <t>N/A</t>
        </is>
      </c>
      <c r="R61" s="15" t="inlineStr">
        <is>
          <t>Blocked — Business Rule / Schema Gap</t>
        </is>
      </c>
    </row>
    <row r="62">
      <c r="A62" s="6" t="n">
        <v>61</v>
      </c>
      <c r="B62" s="15" t="inlineStr">
        <is>
          <t>Timesheets</t>
        </is>
      </c>
      <c r="C62" s="15" t="inlineStr">
        <is>
          <t>daily_hours_above_threshold</t>
        </is>
      </c>
      <c r="D62" s="15" t="inlineStr">
        <is>
          <t>Who logged more than :hours_threshold hours on :date?</t>
        </is>
      </c>
      <c r="E62" s="15" t="inlineStr">
        <is>
          <t>Show high-hour timesheet entries.</t>
        </is>
      </c>
      <c r="F62" s="15" t="inlineStr">
        <is>
          <t>List users exceeding the daily-hours threshold.</t>
        </is>
      </c>
      <c r="G62" s="15" t="inlineStr">
        <is>
          <t>date, hours_threshold</t>
        </is>
      </c>
      <c r="H62" s="15" t="inlineStr">
        <is>
          <t>Derived</t>
        </is>
      </c>
      <c r="I62" s="15" t="inlineStr">
        <is>
          <t>tbl_timesheets; users</t>
        </is>
      </c>
      <c r="J62" s="15" t="inlineStr">
        <is>
          <t>Not Applicable – Non-Direct Support</t>
        </is>
      </c>
      <c r="K62" s="15" t="inlineStr">
        <is>
          <t>Threshold supplied at runtime.</t>
        </is>
      </c>
      <c r="L62" s="16" t="n"/>
      <c r="M62" s="15" t="inlineStr">
        <is>
          <t>Pending</t>
        </is>
      </c>
      <c r="N62" s="15" t="inlineStr">
        <is>
          <t>Not applicable: schema support is not Direct.</t>
        </is>
      </c>
      <c r="O62" s="16" t="n"/>
      <c r="P62" s="15" t="inlineStr">
        <is>
          <t>—</t>
        </is>
      </c>
      <c r="Q62" s="15" t="inlineStr">
        <is>
          <t>N/A</t>
        </is>
      </c>
      <c r="R62" s="15" t="inlineStr">
        <is>
          <t>Blocked — Business Rule / Schema Gap</t>
        </is>
      </c>
    </row>
    <row r="63">
      <c r="A63" s="6" t="n">
        <v>62</v>
      </c>
      <c r="B63" s="15" t="inlineStr">
        <is>
          <t>Timesheets</t>
        </is>
      </c>
      <c r="C63" s="15" t="inlineStr">
        <is>
          <t>project_hours_vs_task_actual</t>
        </is>
      </c>
      <c r="D63" s="15" t="inlineStr">
        <is>
          <t>Compare timesheet hours with task actual hours for :project_name.</t>
        </is>
      </c>
      <c r="E63" s="15" t="inlineStr">
        <is>
          <t>Show discrepancies between booked time and task actual hours.</t>
        </is>
      </c>
      <c r="F63" s="15" t="inlineStr">
        <is>
          <t>Do task actuals match timesheet totals?</t>
        </is>
      </c>
      <c r="G63" s="15" t="inlineStr">
        <is>
          <t>project_name</t>
        </is>
      </c>
      <c r="H63" s="15" t="inlineStr">
        <is>
          <t>Derived</t>
        </is>
      </c>
      <c r="I63" s="15" t="inlineStr">
        <is>
          <t>tbl_timesheets; tbl_project_tasks.actual_hours</t>
        </is>
      </c>
      <c r="J63" s="15" t="inlineStr">
        <is>
          <t>Not Applicable – Non-Direct Support</t>
        </is>
      </c>
      <c r="K63" s="15" t="inlineStr">
        <is>
          <t>Clarify whether actual_hours is system-calculated or manually maintained.</t>
        </is>
      </c>
      <c r="L63" s="16" t="n"/>
      <c r="M63" s="15" t="inlineStr">
        <is>
          <t>Pending</t>
        </is>
      </c>
      <c r="N63" s="15" t="inlineStr">
        <is>
          <t>Not applicable: schema support is not Direct.</t>
        </is>
      </c>
      <c r="O63" s="16" t="n"/>
      <c r="P63" s="15" t="inlineStr">
        <is>
          <t>—</t>
        </is>
      </c>
      <c r="Q63" s="15" t="inlineStr">
        <is>
          <t>N/A</t>
        </is>
      </c>
      <c r="R63" s="15" t="inlineStr">
        <is>
          <t>Blocked — Business Rule / Schema Gap</t>
        </is>
      </c>
    </row>
    <row r="64">
      <c r="A64" s="6" t="n">
        <v>63</v>
      </c>
      <c r="B64" s="15" t="inlineStr">
        <is>
          <t>Timesheets</t>
        </is>
      </c>
      <c r="C64" s="15" t="inlineStr">
        <is>
          <t>timesheet_approval_status</t>
        </is>
      </c>
      <c r="D64" s="15" t="inlineStr">
        <is>
          <t>What is the approval status of my timesheet?</t>
        </is>
      </c>
      <c r="E64" s="15" t="inlineStr">
        <is>
          <t>Show whether my timesheet is approved.</t>
        </is>
      </c>
      <c r="F64" s="15" t="inlineStr">
        <is>
          <t>Are my time entries pending approval?</t>
        </is>
      </c>
      <c r="G64" s="15" t="inlineStr">
        <is>
          <t>current_user, period</t>
        </is>
      </c>
      <c r="H64" s="15" t="inlineStr">
        <is>
          <t>Not supported directly</t>
        </is>
      </c>
      <c r="I64" s="15" t="inlineStr">
        <is>
          <t>tbl_timesheets</t>
        </is>
      </c>
      <c r="J64" s="15" t="inlineStr">
        <is>
          <t>Not Applicable – Non-Direct Support</t>
        </is>
      </c>
      <c r="K64" s="15" t="inlineStr">
        <is>
          <t>No approval/status field is present in tbl_timesheets.</t>
        </is>
      </c>
      <c r="L64" s="16" t="n"/>
      <c r="M64" s="15" t="inlineStr">
        <is>
          <t>Pending</t>
        </is>
      </c>
      <c r="N64" s="15" t="inlineStr">
        <is>
          <t>Not applicable: schema support is not Direct.</t>
        </is>
      </c>
      <c r="O64" s="16" t="n"/>
      <c r="P64" s="15" t="inlineStr">
        <is>
          <t>—</t>
        </is>
      </c>
      <c r="Q64" s="15" t="inlineStr">
        <is>
          <t>N/A</t>
        </is>
      </c>
      <c r="R64" s="15" t="inlineStr">
        <is>
          <t>Blocked — Business Rule / Schema Gap</t>
        </is>
      </c>
    </row>
    <row r="65">
      <c r="A65" s="6" t="n">
        <v>64</v>
      </c>
      <c r="B65" s="15" t="inlineStr">
        <is>
          <t>Timesheets</t>
        </is>
      </c>
      <c r="C65" s="15" t="inlineStr">
        <is>
          <t>rejected_timesheets</t>
        </is>
      </c>
      <c r="D65" s="15" t="inlineStr">
        <is>
          <t>Which timesheets were rejected?</t>
        </is>
      </c>
      <c r="E65" s="15" t="inlineStr">
        <is>
          <t>Show rejected time entries.</t>
        </is>
      </c>
      <c r="F65" s="15" t="inlineStr">
        <is>
          <t>List declined timesheets.</t>
        </is>
      </c>
      <c r="G65" s="15" t="inlineStr">
        <is>
          <t>period</t>
        </is>
      </c>
      <c r="H65" s="15" t="inlineStr">
        <is>
          <t>Not supported directly</t>
        </is>
      </c>
      <c r="I65" s="15" t="inlineStr">
        <is>
          <t>tbl_timesheets</t>
        </is>
      </c>
      <c r="J65" s="15" t="inlineStr">
        <is>
          <t>Not Applicable – Non-Direct Support</t>
        </is>
      </c>
      <c r="K65" s="15" t="inlineStr">
        <is>
          <t>No rejection field or workflow table identified.</t>
        </is>
      </c>
      <c r="L65" s="16" t="n"/>
      <c r="M65" s="15" t="inlineStr">
        <is>
          <t>Pending</t>
        </is>
      </c>
      <c r="N65" s="15" t="inlineStr">
        <is>
          <t>Not applicable: schema support is not Direct.</t>
        </is>
      </c>
      <c r="O65" s="16" t="n"/>
      <c r="P65" s="15" t="inlineStr">
        <is>
          <t>—</t>
        </is>
      </c>
      <c r="Q65" s="15" t="inlineStr">
        <is>
          <t>N/A</t>
        </is>
      </c>
      <c r="R65" s="15" t="inlineStr">
        <is>
          <t>Blocked — Business Rule / Schema Gap</t>
        </is>
      </c>
    </row>
    <row r="66">
      <c r="A66" s="6" t="n">
        <v>65</v>
      </c>
      <c r="B66" s="15" t="inlineStr">
        <is>
          <t>Resources</t>
        </is>
      </c>
      <c r="C66" s="15" t="inlineStr">
        <is>
          <t>my_project_allocations</t>
        </is>
      </c>
      <c r="D66" s="15" t="inlineStr">
        <is>
          <t>What projects am I allocated to?</t>
        </is>
      </c>
      <c r="E66" s="15" t="inlineStr">
        <is>
          <t>Show my current project allocations.</t>
        </is>
      </c>
      <c r="F66" s="15" t="inlineStr">
        <is>
          <t>List projects where I am a member.</t>
        </is>
      </c>
      <c r="G66" s="15" t="inlineStr">
        <is>
          <t>current_user, as_of_date</t>
        </is>
      </c>
      <c r="H66" s="15" t="inlineStr">
        <is>
          <t>Direct</t>
        </is>
      </c>
      <c r="I66" s="15" t="inlineStr">
        <is>
          <t>tbl_project_users; projects</t>
        </is>
      </c>
      <c r="J66" s="15" t="inlineStr">
        <is>
          <t>Mapped – Direct Schema</t>
        </is>
      </c>
      <c r="K66" s="15" t="inlineStr">
        <is>
          <t>Use allocation dates and active status.</t>
        </is>
      </c>
      <c r="L66" s="15" t="inlineStr">
        <is>
          <t>SELECT p.project_id, p.project_key, p.title, pu.access_type, pu.role_id, pu.allocation_from, pu.allocation_to, pu.allocation_hrs, pu.resource_type, pu.request_status FROM tbl_project_users pu JOIN tbl_projects p ON p.project_id = pu.project_id WHERE pu.user_id = :current_user_id AND pu.status = 1 AND pu.request_status = 'A' ORDER BY pu.allocation_from DESC, p.title;</t>
        </is>
      </c>
      <c r="M66" s="15" t="inlineStr">
        <is>
          <t>Pending</t>
        </is>
      </c>
      <c r="N66" s="15" t="inlineStr">
        <is>
          <t>Mapped from schema</t>
        </is>
      </c>
      <c r="O66" s="16" t="n"/>
      <c r="P66" s="15" t="inlineStr">
        <is>
          <t>—</t>
        </is>
      </c>
      <c r="Q66" s="15" t="inlineStr">
        <is>
          <t>Data Available</t>
        </is>
      </c>
      <c r="R66" s="15" t="inlineStr">
        <is>
          <t>Ready for Verification</t>
        </is>
      </c>
    </row>
    <row r="67">
      <c r="A67" s="6" t="n">
        <v>66</v>
      </c>
      <c r="B67" s="15" t="inlineStr">
        <is>
          <t>Resources</t>
        </is>
      </c>
      <c r="C67" s="15" t="inlineStr">
        <is>
          <t>employee_allocations</t>
        </is>
      </c>
      <c r="D67" s="15" t="inlineStr">
        <is>
          <t>Show allocations for :employee_name.</t>
        </is>
      </c>
      <c r="E67" s="15" t="inlineStr">
        <is>
          <t>Which projects is :employee_name allocated to?</t>
        </is>
      </c>
      <c r="F67" s="15" t="inlineStr">
        <is>
          <t>List :employee_name’s project assignments.</t>
        </is>
      </c>
      <c r="G67" s="15" t="inlineStr">
        <is>
          <t>employee_name, as_of_date</t>
        </is>
      </c>
      <c r="H67" s="15" t="inlineStr">
        <is>
          <t>Direct</t>
        </is>
      </c>
      <c r="I67" s="15" t="inlineStr">
        <is>
          <t>tbl_project_users; users; projects</t>
        </is>
      </c>
      <c r="J67" s="15" t="inlineStr">
        <is>
          <t>Mapped – Direct Schema</t>
        </is>
      </c>
      <c r="K67" s="15" t="inlineStr">
        <is>
          <t>RBAC required.</t>
        </is>
      </c>
      <c r="L67" s="15" t="inlineStr">
        <is>
          <t>SELECT u.user_id, CONCAT_WS(' ', u.first_name, u.last_name) AS employee_name, p.project_id, p.title AS project_title, pu.allocation_from, pu.allocation_to, pu.allocation_hrs, pu.resource_type, pu.access_type, pu.request_status FROM tbl_users u JOIN tbl_project_users pu ON pu.user_id = u.user_id JOIN tbl_projects p ON p.project_id = pu.project_id WHERE CONCAT_WS(' ', u.first_name, u.last_name) = :employee_name AND pu.status = 1 ORDER BY pu.allocation_from DESC, p.title;</t>
        </is>
      </c>
      <c r="M67" s="15" t="inlineStr">
        <is>
          <t>Pending</t>
        </is>
      </c>
      <c r="N67" s="15" t="inlineStr">
        <is>
          <t>Mapped from schema</t>
        </is>
      </c>
      <c r="O67" s="16" t="n"/>
      <c r="P67" s="15" t="inlineStr">
        <is>
          <t>—</t>
        </is>
      </c>
      <c r="Q67" s="15" t="inlineStr">
        <is>
          <t>Data Available</t>
        </is>
      </c>
      <c r="R67" s="15" t="inlineStr">
        <is>
          <t>Ready for Verification</t>
        </is>
      </c>
    </row>
    <row r="68">
      <c r="A68" s="6" t="n">
        <v>67</v>
      </c>
      <c r="B68" s="15" t="inlineStr">
        <is>
          <t>Resources</t>
        </is>
      </c>
      <c r="C68" s="15" t="inlineStr">
        <is>
          <t>project_team</t>
        </is>
      </c>
      <c r="D68" s="15" t="inlineStr">
        <is>
          <t>Who is allocated to :project_name?</t>
        </is>
      </c>
      <c r="E68" s="15" t="inlineStr">
        <is>
          <t>Show the team of :project_name.</t>
        </is>
      </c>
      <c r="F68" s="15" t="inlineStr">
        <is>
          <t>List project members for :project_name.</t>
        </is>
      </c>
      <c r="G68" s="15" t="inlineStr">
        <is>
          <t>project_name</t>
        </is>
      </c>
      <c r="H68" s="15" t="inlineStr">
        <is>
          <t>Direct</t>
        </is>
      </c>
      <c r="I68" s="15" t="inlineStr">
        <is>
          <t>tbl_project_users; users</t>
        </is>
      </c>
      <c r="J68" s="15" t="inlineStr">
        <is>
          <t>Mapped – Direct Schema</t>
        </is>
      </c>
      <c r="K68" s="15" t="inlineStr">
        <is>
          <t>Filter active allocation and request status.</t>
        </is>
      </c>
      <c r="L68" s="15" t="inlineStr">
        <is>
          <t>SELECT u.user_id, CONCAT_WS(' ', u.first_name, u.last_name) AS employee_name, u.email, pu.access_type, pu.role_id, pu.allocation_from, pu.allocation_to, pu.allocation_hrs, pu.resource_type, pu.request_status FROM tbl_projects p JOIN tbl_project_users pu ON pu.project_id = p.project_id JOIN tbl_users u ON u.user_id = pu.user_id WHERE p.title = :project_name AND pu.status = 1 ORDER BY employee_name;</t>
        </is>
      </c>
      <c r="M68" s="15" t="inlineStr">
        <is>
          <t>Pending</t>
        </is>
      </c>
      <c r="N68" s="15" t="inlineStr">
        <is>
          <t>Mapped from schema</t>
        </is>
      </c>
      <c r="O68" s="16" t="n"/>
      <c r="P68" s="15" t="inlineStr">
        <is>
          <t>—</t>
        </is>
      </c>
      <c r="Q68" s="15" t="inlineStr">
        <is>
          <t>Data Available</t>
        </is>
      </c>
      <c r="R68" s="15" t="inlineStr">
        <is>
          <t>Ready for Verification</t>
        </is>
      </c>
    </row>
    <row r="69">
      <c r="A69" s="6" t="n">
        <v>68</v>
      </c>
      <c r="B69" s="15" t="inlineStr">
        <is>
          <t>Resources</t>
        </is>
      </c>
      <c r="C69" s="15" t="inlineStr">
        <is>
          <t>project_allocated_hours</t>
        </is>
      </c>
      <c r="D69" s="15" t="inlineStr">
        <is>
          <t>Show allocated hours by user for :project_name.</t>
        </is>
      </c>
      <c r="E69" s="15" t="inlineStr">
        <is>
          <t>How many hours is each user allocated to :project_name?</t>
        </is>
      </c>
      <c r="F69" s="15" t="inlineStr">
        <is>
          <t>List resource allocation hours for :project_name.</t>
        </is>
      </c>
      <c r="G69" s="15" t="inlineStr">
        <is>
          <t>project_name</t>
        </is>
      </c>
      <c r="H69" s="15" t="inlineStr">
        <is>
          <t>Direct</t>
        </is>
      </c>
      <c r="I69" s="15" t="inlineStr">
        <is>
          <t>tbl_project_users.allocation_hrs</t>
        </is>
      </c>
      <c r="J69" s="15" t="inlineStr">
        <is>
          <t>Mapped – Direct Schema</t>
        </is>
      </c>
      <c r="K69" s="15" t="inlineStr">
        <is>
          <t>Confirm allocation_hrs period basis.</t>
        </is>
      </c>
      <c r="L69" s="15" t="inlineStr">
        <is>
          <t>SELECT u.user_id, CONCAT_WS(' ', u.first_name, u.last_name) AS employee_name, pu.allocation_hrs, pu.allocation_from, pu.allocation_to, pu.resource_type FROM tbl_projects p JOIN tbl_project_users pu ON pu.project_id = p.project_id JOIN tbl_users u ON u.user_id = pu.user_id WHERE p.title = :project_name AND pu.status = 1 AND pu.request_status = 'A' ORDER BY pu.allocation_hrs DESC, employee_name;</t>
        </is>
      </c>
      <c r="M69" s="15" t="inlineStr">
        <is>
          <t>Pending</t>
        </is>
      </c>
      <c r="N69" s="15" t="inlineStr">
        <is>
          <t>Mapped from schema</t>
        </is>
      </c>
      <c r="O69" s="16" t="n"/>
      <c r="P69" s="15" t="inlineStr">
        <is>
          <t>—</t>
        </is>
      </c>
      <c r="Q69" s="15" t="inlineStr">
        <is>
          <t>Data Available</t>
        </is>
      </c>
      <c r="R69" s="15" t="inlineStr">
        <is>
          <t>Ready for Verification</t>
        </is>
      </c>
    </row>
    <row r="70">
      <c r="A70" s="6" t="n">
        <v>69</v>
      </c>
      <c r="B70" s="15" t="inlineStr">
        <is>
          <t>Resources</t>
        </is>
      </c>
      <c r="C70" s="15" t="inlineStr">
        <is>
          <t>allocations_ending_soon</t>
        </is>
      </c>
      <c r="D70" s="15" t="inlineStr">
        <is>
          <t>Whose project allocation ends in the next :days days?</t>
        </is>
      </c>
      <c r="E70" s="15" t="inlineStr">
        <is>
          <t>Show allocations ending soon.</t>
        </is>
      </c>
      <c r="F70" s="15" t="inlineStr">
        <is>
          <t>List users rolling off projects soon.</t>
        </is>
      </c>
      <c r="G70" s="15" t="inlineStr">
        <is>
          <t>days</t>
        </is>
      </c>
      <c r="H70" s="15" t="inlineStr">
        <is>
          <t>Direct</t>
        </is>
      </c>
      <c r="I70" s="15" t="inlineStr">
        <is>
          <t>tbl_project_users.allocation_to</t>
        </is>
      </c>
      <c r="J70" s="15" t="inlineStr">
        <is>
          <t>Mapped – Direct Schema</t>
        </is>
      </c>
      <c r="K70" s="15" t="inlineStr">
        <is>
          <t>Active allocation filter required.</t>
        </is>
      </c>
      <c r="L70" s="15" t="inlineStr">
        <is>
          <t>SELECT u.user_id, CONCAT_WS(' ', u.first_name, u.last_name) AS employee_name, p.project_id, p.title AS project_title, pu.allocation_to, pu.allocation_hrs, pu.resource_type FROM tbl_project_users pu JOIN tbl_projects p ON p.project_id = pu.project_id JOIN tbl_users u ON u.user_id = pu.user_id WHERE pu.status = 1 AND pu.request_status = 'A' AND pu.allocation_to &gt;= CURRENT_DATE AND pu.allocation_to &lt; DATE_ADD(CURRENT_DATE, INTERVAL :days + 1 DAY) ORDER BY pu.allocation_to, employee_name;</t>
        </is>
      </c>
      <c r="M70" s="15" t="inlineStr">
        <is>
          <t>Pending</t>
        </is>
      </c>
      <c r="N70" s="15" t="inlineStr">
        <is>
          <t>Mapped from schema</t>
        </is>
      </c>
      <c r="O70" s="16" t="n"/>
      <c r="P70" s="15" t="inlineStr">
        <is>
          <t>—</t>
        </is>
      </c>
      <c r="Q70" s="15" t="inlineStr">
        <is>
          <t>Data Available</t>
        </is>
      </c>
      <c r="R70" s="15" t="inlineStr">
        <is>
          <t>Ready for Verification</t>
        </is>
      </c>
    </row>
    <row r="71">
      <c r="A71" s="6" t="n">
        <v>70</v>
      </c>
      <c r="B71" s="15" t="inlineStr">
        <is>
          <t>Resources</t>
        </is>
      </c>
      <c r="C71" s="15" t="inlineStr">
        <is>
          <t>allocations_starting_soon</t>
        </is>
      </c>
      <c r="D71" s="15" t="inlineStr">
        <is>
          <t>Whose project allocation starts in the next :days days?</t>
        </is>
      </c>
      <c r="E71" s="15" t="inlineStr">
        <is>
          <t>Show upcoming allocations.</t>
        </is>
      </c>
      <c r="F71" s="15" t="inlineStr">
        <is>
          <t>List users joining projects soon.</t>
        </is>
      </c>
      <c r="G71" s="15" t="inlineStr">
        <is>
          <t>days</t>
        </is>
      </c>
      <c r="H71" s="15" t="inlineStr">
        <is>
          <t>Direct</t>
        </is>
      </c>
      <c r="I71" s="15" t="inlineStr">
        <is>
          <t>tbl_project_users.allocation_from</t>
        </is>
      </c>
      <c r="J71" s="15" t="inlineStr">
        <is>
          <t>Mapped – Direct Schema</t>
        </is>
      </c>
      <c r="K71" s="15" t="inlineStr">
        <is>
          <t>Active/request status filter required.</t>
        </is>
      </c>
      <c r="L71" s="15" t="inlineStr">
        <is>
          <t>SELECT u.user_id, CONCAT_WS(' ', u.first_name, u.last_name) AS employee_name, p.project_id, p.title AS project_title, pu.allocation_from, pu.allocation_to, pu.allocation_hrs, pu.resource_type FROM tbl_project_users pu JOIN tbl_projects p ON p.project_id = pu.project_id JOIN tbl_users u ON u.user_id = pu.user_id WHERE pu.status = 1 AND pu.request_status IN ('A','I') AND pu.allocation_from &gt;= CURRENT_DATE AND pu.allocation_from &lt; DATE_ADD(CURRENT_DATE, INTERVAL :days + 1 DAY) ORDER BY pu.allocation_from, employee_name;</t>
        </is>
      </c>
      <c r="M71" s="15" t="inlineStr">
        <is>
          <t>Pending</t>
        </is>
      </c>
      <c r="N71" s="15" t="inlineStr">
        <is>
          <t>Mapped from schema</t>
        </is>
      </c>
      <c r="O71" s="16" t="n"/>
      <c r="P71" s="15" t="inlineStr">
        <is>
          <t>—</t>
        </is>
      </c>
      <c r="Q71" s="15" t="inlineStr">
        <is>
          <t>Data Available</t>
        </is>
      </c>
      <c r="R71" s="15" t="inlineStr">
        <is>
          <t>Ready for Verification</t>
        </is>
      </c>
    </row>
    <row r="72">
      <c r="A72" s="6" t="n">
        <v>71</v>
      </c>
      <c r="B72" s="15" t="inlineStr">
        <is>
          <t>Resources</t>
        </is>
      </c>
      <c r="C72" s="15" t="inlineStr">
        <is>
          <t>resources_by_department</t>
        </is>
      </c>
      <c r="D72" s="15" t="inlineStr">
        <is>
          <t>Show active users in department :department_name.</t>
        </is>
      </c>
      <c r="E72" s="15" t="inlineStr">
        <is>
          <t>List department resources.</t>
        </is>
      </c>
      <c r="F72" s="15" t="inlineStr">
        <is>
          <t>Who belongs to :department_name?</t>
        </is>
      </c>
      <c r="G72" s="15" t="inlineStr">
        <is>
          <t>department_name</t>
        </is>
      </c>
      <c r="H72" s="15" t="inlineStr">
        <is>
          <t>Partial</t>
        </is>
      </c>
      <c r="I72" s="15" t="inlineStr">
        <is>
          <t>tbl_users; department relationships</t>
        </is>
      </c>
      <c r="J72" s="15" t="inlineStr">
        <is>
          <t>Not Applicable – Non-Direct Support</t>
        </is>
      </c>
      <c r="K72" s="15" t="inlineStr">
        <is>
          <t>tbl_users does not expose a direct department_id in visible columns.</t>
        </is>
      </c>
      <c r="L72" s="16" t="n"/>
      <c r="M72" s="15" t="inlineStr">
        <is>
          <t>Pending</t>
        </is>
      </c>
      <c r="N72" s="15" t="inlineStr">
        <is>
          <t>Not applicable: schema support is not Direct.</t>
        </is>
      </c>
      <c r="O72" s="16" t="n"/>
      <c r="P72" s="15" t="inlineStr">
        <is>
          <t>—</t>
        </is>
      </c>
      <c r="Q72" s="15" t="inlineStr">
        <is>
          <t>N/A</t>
        </is>
      </c>
      <c r="R72" s="15" t="inlineStr">
        <is>
          <t>Blocked — Business Rule / Schema Gap</t>
        </is>
      </c>
    </row>
    <row r="73">
      <c r="A73" s="24" t="n">
        <v>72</v>
      </c>
      <c r="B73" s="25" t="inlineStr">
        <is>
          <t>Resources</t>
        </is>
      </c>
      <c r="C73" s="25" t="inlineStr">
        <is>
          <t>resources_by_team</t>
        </is>
      </c>
      <c r="D73" s="25" t="inlineStr">
        <is>
          <t>Show active users in team :team_name.</t>
        </is>
      </c>
      <c r="E73" s="25" t="inlineStr">
        <is>
          <t>List users in :team_name.</t>
        </is>
      </c>
      <c r="F73" s="25" t="inlineStr">
        <is>
          <t>Who belongs to :team_name?</t>
        </is>
      </c>
      <c r="G73" s="25" t="inlineStr">
        <is>
          <t>team_name</t>
        </is>
      </c>
      <c r="H73" s="25" t="inlineStr">
        <is>
          <t>Partial</t>
        </is>
      </c>
      <c r="I73" s="25" t="inlineStr">
        <is>
          <t>tbl_project_team; project users; users</t>
        </is>
      </c>
      <c r="J73" s="25" t="inlineStr">
        <is>
          <t>Not Applicable – Non-Direct Support</t>
        </is>
      </c>
      <c r="K73" s="25" t="inlineStr">
        <is>
          <t>No direct team-user table identified in PMS subset.</t>
        </is>
      </c>
      <c r="L73" s="26" t="n"/>
      <c r="M73" s="25" t="inlineStr">
        <is>
          <t>Pending</t>
        </is>
      </c>
      <c r="N73" s="25" t="inlineStr">
        <is>
          <t>Not applicable: schema support is not Direct.</t>
        </is>
      </c>
      <c r="O73" s="26" t="n"/>
      <c r="P73" s="25" t="inlineStr">
        <is>
          <t>tbl_project_team</t>
        </is>
      </c>
      <c r="Q73" s="25" t="inlineStr">
        <is>
          <t>No Data (Table Empty)</t>
        </is>
      </c>
      <c r="R73" s="25" t="inlineStr">
        <is>
          <t>Blocked — No Data + Business Rule</t>
        </is>
      </c>
    </row>
    <row r="74">
      <c r="A74" s="6" t="n">
        <v>73</v>
      </c>
      <c r="B74" s="15" t="inlineStr">
        <is>
          <t>Resources</t>
        </is>
      </c>
      <c r="C74" s="15" t="inlineStr">
        <is>
          <t>resource_skills</t>
        </is>
      </c>
      <c r="D74" s="15" t="inlineStr">
        <is>
          <t>What skills does :employee_name have?</t>
        </is>
      </c>
      <c r="E74" s="15" t="inlineStr">
        <is>
          <t>Show :employee_name’s recorded skills.</t>
        </is>
      </c>
      <c r="F74" s="15" t="inlineStr">
        <is>
          <t>List skills for :employee_name.</t>
        </is>
      </c>
      <c r="G74" s="15" t="inlineStr">
        <is>
          <t>employee_name</t>
        </is>
      </c>
      <c r="H74" s="15" t="inlineStr">
        <is>
          <t>Direct</t>
        </is>
      </c>
      <c r="I74" s="15" t="inlineStr">
        <is>
          <t>tbl_user_skills; skill master to identify</t>
        </is>
      </c>
      <c r="J74" s="15" t="inlineStr">
        <is>
          <t>Mapped – Direct Schema</t>
        </is>
      </c>
      <c r="K74" s="15" t="inlineStr">
        <is>
          <t>Skill reference table must be located/confirmed.</t>
        </is>
      </c>
      <c r="L74" s="15" t="inlineStr">
        <is>
          <t>SELECT u.user_id, CONCAT_WS(' ', u.first_name, u.last_name) AS employee_name, s.id AS skill_id, s.name AS skill_name FROM tbl_users u JOIN tbl_user_skills us ON us.user_id = u.user_id JOIN tbl_master_skills s ON s.id = us.skill_id WHERE CONCAT_WS(' ', u.first_name, u.last_name) = :employee_name AND us.status = '1' AND s.status = '1' ORDER BY s.name;</t>
        </is>
      </c>
      <c r="M74" s="15" t="inlineStr">
        <is>
          <t>Pending</t>
        </is>
      </c>
      <c r="N74" s="15" t="inlineStr">
        <is>
          <t>Mapped from schema</t>
        </is>
      </c>
      <c r="O74" s="16" t="n"/>
      <c r="P74" s="15" t="inlineStr">
        <is>
          <t>—</t>
        </is>
      </c>
      <c r="Q74" s="15" t="inlineStr">
        <is>
          <t>Data Available</t>
        </is>
      </c>
      <c r="R74" s="15" t="inlineStr">
        <is>
          <t>Ready for Verification</t>
        </is>
      </c>
    </row>
    <row r="75">
      <c r="A75" s="6" t="n">
        <v>74</v>
      </c>
      <c r="B75" s="15" t="inlineStr">
        <is>
          <t>Resources</t>
        </is>
      </c>
      <c r="C75" s="15" t="inlineStr">
        <is>
          <t>available_by_skill</t>
        </is>
      </c>
      <c r="D75" s="15" t="inlineStr">
        <is>
          <t>Who with skill :skill_name is available between :start_date and :end_date?</t>
        </is>
      </c>
      <c r="E75" s="15" t="inlineStr">
        <is>
          <t>Find resources with :skill_name and no overlapping allocation.</t>
        </is>
      </c>
      <c r="F75" s="15" t="inlineStr">
        <is>
          <t>Show available :skill_name resources.</t>
        </is>
      </c>
      <c r="G75" s="15" t="inlineStr">
        <is>
          <t>skill_name, start_date, end_date</t>
        </is>
      </c>
      <c r="H75" s="15" t="inlineStr">
        <is>
          <t>Derived</t>
        </is>
      </c>
      <c r="I75" s="15" t="inlineStr">
        <is>
          <t>tbl_user_skills; tbl_project_users</t>
        </is>
      </c>
      <c r="J75" s="15" t="inlineStr">
        <is>
          <t>Not Applicable – Non-Direct Support</t>
        </is>
      </c>
      <c r="K75" s="15" t="inlineStr">
        <is>
          <t>Define availability and allocation capacity.</t>
        </is>
      </c>
      <c r="L75" s="16" t="n"/>
      <c r="M75" s="15" t="inlineStr">
        <is>
          <t>Pending</t>
        </is>
      </c>
      <c r="N75" s="15" t="inlineStr">
        <is>
          <t>Not applicable: schema support is not Direct.</t>
        </is>
      </c>
      <c r="O75" s="16" t="n"/>
      <c r="P75" s="15" t="inlineStr">
        <is>
          <t>—</t>
        </is>
      </c>
      <c r="Q75" s="15" t="inlineStr">
        <is>
          <t>N/A</t>
        </is>
      </c>
      <c r="R75" s="15" t="inlineStr">
        <is>
          <t>Blocked — Business Rule / Schema Gap</t>
        </is>
      </c>
    </row>
    <row r="76">
      <c r="A76" s="6" t="n">
        <v>75</v>
      </c>
      <c r="B76" s="15" t="inlineStr">
        <is>
          <t>Resources</t>
        </is>
      </c>
      <c r="C76" s="15" t="inlineStr">
        <is>
          <t>overlapping_allocations</t>
        </is>
      </c>
      <c r="D76" s="15" t="inlineStr">
        <is>
          <t>Which users have overlapping project allocations?</t>
        </is>
      </c>
      <c r="E76" s="15" t="inlineStr">
        <is>
          <t>Show resource allocation conflicts.</t>
        </is>
      </c>
      <c r="F76" s="15" t="inlineStr">
        <is>
          <t>List people assigned to overlapping project periods.</t>
        </is>
      </c>
      <c r="G76" s="15" t="inlineStr">
        <is>
          <t>date_range</t>
        </is>
      </c>
      <c r="H76" s="15" t="inlineStr">
        <is>
          <t>Derived</t>
        </is>
      </c>
      <c r="I76" s="15" t="inlineStr">
        <is>
          <t>tbl_project_users</t>
        </is>
      </c>
      <c r="J76" s="15" t="inlineStr">
        <is>
          <t>Not Applicable – Non-Direct Support</t>
        </is>
      </c>
      <c r="K76" s="15" t="inlineStr">
        <is>
          <t>Does not prove overallocation unless hours/capacity are defined.</t>
        </is>
      </c>
      <c r="L76" s="16" t="n"/>
      <c r="M76" s="15" t="inlineStr">
        <is>
          <t>Pending</t>
        </is>
      </c>
      <c r="N76" s="15" t="inlineStr">
        <is>
          <t>Not applicable: schema support is not Direct.</t>
        </is>
      </c>
      <c r="O76" s="16" t="n"/>
      <c r="P76" s="15" t="inlineStr">
        <is>
          <t>—</t>
        </is>
      </c>
      <c r="Q76" s="15" t="inlineStr">
        <is>
          <t>N/A</t>
        </is>
      </c>
      <c r="R76" s="15" t="inlineStr">
        <is>
          <t>Blocked — Business Rule / Schema Gap</t>
        </is>
      </c>
    </row>
    <row r="77">
      <c r="A77" s="6" t="n">
        <v>76</v>
      </c>
      <c r="B77" s="15" t="inlineStr">
        <is>
          <t>Resources</t>
        </is>
      </c>
      <c r="C77" s="15" t="inlineStr">
        <is>
          <t>project_roles</t>
        </is>
      </c>
      <c r="D77" s="15" t="inlineStr">
        <is>
          <t>Show project roles for :project_name.</t>
        </is>
      </c>
      <c r="E77" s="15" t="inlineStr">
        <is>
          <t>List users and role IDs on :project_name.</t>
        </is>
      </c>
      <c r="F77" s="15" t="inlineStr">
        <is>
          <t>Who has which role on :project_name?</t>
        </is>
      </c>
      <c r="G77" s="15" t="inlineStr">
        <is>
          <t>project_name</t>
        </is>
      </c>
      <c r="H77" s="15" t="inlineStr">
        <is>
          <t>Direct</t>
        </is>
      </c>
      <c r="I77" s="15" t="inlineStr">
        <is>
          <t>tbl_project_users.role_id; role master</t>
        </is>
      </c>
      <c r="J77" s="15" t="inlineStr">
        <is>
          <t>Mapped – Direct Schema</t>
        </is>
      </c>
      <c r="K77" s="15" t="inlineStr">
        <is>
          <t>Role labels require lookup table.</t>
        </is>
      </c>
      <c r="L77" s="15" t="inlineStr">
        <is>
          <t>SELECT u.user_id, CONCAT_WS(' ', u.first_name, u.last_name) AS employee_name, pu.role_id, r.role_name, r.role_slug FROM tbl_projects p JOIN tbl_project_users pu ON pu.project_id = p.project_id JOIN tbl_users u ON u.user_id = pu.user_id LEFT JOIN tbl_roles r ON r.role_id = pu.role_id WHERE p.title = :project_name AND pu.status = 1 ORDER BY r.role_name, employee_name;</t>
        </is>
      </c>
      <c r="M77" s="15" t="inlineStr">
        <is>
          <t>Pending</t>
        </is>
      </c>
      <c r="N77" s="15" t="inlineStr">
        <is>
          <t>Mapped from schema</t>
        </is>
      </c>
      <c r="O77" s="16" t="n"/>
      <c r="P77" s="15" t="inlineStr">
        <is>
          <t>—</t>
        </is>
      </c>
      <c r="Q77" s="15" t="inlineStr">
        <is>
          <t>Data Available</t>
        </is>
      </c>
      <c r="R77" s="15" t="inlineStr">
        <is>
          <t>Ready for Verification</t>
        </is>
      </c>
    </row>
    <row r="78">
      <c r="A78" s="6" t="n">
        <v>77</v>
      </c>
      <c r="B78" s="15" t="inlineStr">
        <is>
          <t>Resources</t>
        </is>
      </c>
      <c r="C78" s="15" t="inlineStr">
        <is>
          <t>project_access_types</t>
        </is>
      </c>
      <c r="D78" s="15" t="inlineStr">
        <is>
          <t>Show access types for users on :project_name.</t>
        </is>
      </c>
      <c r="E78" s="15" t="inlineStr">
        <is>
          <t>Who has what access on :project_name?</t>
        </is>
      </c>
      <c r="F78" s="15" t="inlineStr">
        <is>
          <t>List project membership access levels.</t>
        </is>
      </c>
      <c r="G78" s="15" t="inlineStr">
        <is>
          <t>project_name</t>
        </is>
      </c>
      <c r="H78" s="15" t="inlineStr">
        <is>
          <t>Direct</t>
        </is>
      </c>
      <c r="I78" s="15" t="inlineStr">
        <is>
          <t>tbl_project_users.access_type</t>
        </is>
      </c>
      <c r="J78" s="15" t="inlineStr">
        <is>
          <t>Mapped – Direct Schema</t>
        </is>
      </c>
      <c r="K78" s="15" t="inlineStr">
        <is>
          <t>Enumerated values not available in schema.</t>
        </is>
      </c>
      <c r="L78" s="15" t="inlineStr">
        <is>
          <t>SELECT pu.access_type, COUNT(*) AS user_count FROM tbl_projects p JOIN tbl_project_users pu ON pu.project_id = p.project_id WHERE p.title = :project_name AND pu.status = 1 GROUP BY pu.access_type ORDER BY pu.access_type;</t>
        </is>
      </c>
      <c r="M78" s="15" t="inlineStr">
        <is>
          <t>Pending</t>
        </is>
      </c>
      <c r="N78" s="15" t="inlineStr">
        <is>
          <t>Mapped from schema</t>
        </is>
      </c>
      <c r="O78" s="16" t="n"/>
      <c r="P78" s="15" t="inlineStr">
        <is>
          <t>—</t>
        </is>
      </c>
      <c r="Q78" s="15" t="inlineStr">
        <is>
          <t>Data Available</t>
        </is>
      </c>
      <c r="R78" s="15" t="inlineStr">
        <is>
          <t>Ready for Verification</t>
        </is>
      </c>
    </row>
    <row r="79">
      <c r="A79" s="6" t="n">
        <v>78</v>
      </c>
      <c r="B79" s="15" t="inlineStr">
        <is>
          <t>Resources</t>
        </is>
      </c>
      <c r="C79" s="15" t="inlineStr">
        <is>
          <t>bench_resources</t>
        </is>
      </c>
      <c r="D79" s="15" t="inlineStr">
        <is>
          <t>Who is currently on the bench?</t>
        </is>
      </c>
      <c r="E79" s="15" t="inlineStr">
        <is>
          <t>Show users with no active project allocation.</t>
        </is>
      </c>
      <c r="F79" s="15" t="inlineStr">
        <is>
          <t>List unallocated active resources.</t>
        </is>
      </c>
      <c r="G79" s="15" t="inlineStr">
        <is>
          <t>as_of_date, population_scope</t>
        </is>
      </c>
      <c r="H79" s="15" t="inlineStr">
        <is>
          <t>Derived</t>
        </is>
      </c>
      <c r="I79" s="15" t="inlineStr">
        <is>
          <t>tbl_users; tbl_project_users</t>
        </is>
      </c>
      <c r="J79" s="15" t="inlineStr">
        <is>
          <t>Not Applicable – Non-Direct Support</t>
        </is>
      </c>
      <c r="K79" s="15" t="inlineStr">
        <is>
          <t>Define active employee population and whether no allocation means bench.</t>
        </is>
      </c>
      <c r="L79" s="16" t="n"/>
      <c r="M79" s="15" t="inlineStr">
        <is>
          <t>Pending</t>
        </is>
      </c>
      <c r="N79" s="15" t="inlineStr">
        <is>
          <t>Not applicable: schema support is not Direct.</t>
        </is>
      </c>
      <c r="O79" s="16" t="n"/>
      <c r="P79" s="15" t="inlineStr">
        <is>
          <t>—</t>
        </is>
      </c>
      <c r="Q79" s="15" t="inlineStr">
        <is>
          <t>N/A</t>
        </is>
      </c>
      <c r="R79" s="15" t="inlineStr">
        <is>
          <t>Blocked — Business Rule / Schema Gap</t>
        </is>
      </c>
    </row>
    <row r="80">
      <c r="A80" s="6" t="n">
        <v>79</v>
      </c>
      <c r="B80" s="15" t="inlineStr">
        <is>
          <t>Utilization</t>
        </is>
      </c>
      <c r="C80" s="15" t="inlineStr">
        <is>
          <t>allocation_utilization_user</t>
        </is>
      </c>
      <c r="D80" s="15" t="inlineStr">
        <is>
          <t>What is :employee_name’s allocation utilization for :period?</t>
        </is>
      </c>
      <c r="E80" s="15" t="inlineStr">
        <is>
          <t>Show allocated hours versus capacity for :employee_name.</t>
        </is>
      </c>
      <c r="F80" s="15" t="inlineStr">
        <is>
          <t>How utilized is :employee_name based on allocations?</t>
        </is>
      </c>
      <c r="G80" s="15" t="inlineStr">
        <is>
          <t>employee_name, period</t>
        </is>
      </c>
      <c r="H80" s="15" t="inlineStr">
        <is>
          <t>Partial</t>
        </is>
      </c>
      <c r="I80" s="15" t="inlineStr">
        <is>
          <t>tbl_project_users.allocation_hrs</t>
        </is>
      </c>
      <c r="J80" s="15" t="inlineStr">
        <is>
          <t>Not Applicable – Non-Direct Support</t>
        </is>
      </c>
      <c r="K80" s="15" t="inlineStr">
        <is>
          <t>Capacity/working-hour calendar is not defined.</t>
        </is>
      </c>
      <c r="L80" s="16" t="n"/>
      <c r="M80" s="15" t="inlineStr">
        <is>
          <t>Pending</t>
        </is>
      </c>
      <c r="N80" s="15" t="inlineStr">
        <is>
          <t>Not applicable: schema support is not Direct.</t>
        </is>
      </c>
      <c r="O80" s="16" t="n"/>
      <c r="P80" s="15" t="inlineStr">
        <is>
          <t>—</t>
        </is>
      </c>
      <c r="Q80" s="15" t="inlineStr">
        <is>
          <t>N/A</t>
        </is>
      </c>
      <c r="R80" s="15" t="inlineStr">
        <is>
          <t>Blocked — Business Rule / Schema Gap</t>
        </is>
      </c>
    </row>
    <row r="81">
      <c r="A81" s="6" t="n">
        <v>80</v>
      </c>
      <c r="B81" s="15" t="inlineStr">
        <is>
          <t>Utilization</t>
        </is>
      </c>
      <c r="C81" s="15" t="inlineStr">
        <is>
          <t>timesheet_utilization_user</t>
        </is>
      </c>
      <c r="D81" s="15" t="inlineStr">
        <is>
          <t>What is :employee_name’s timesheet utilization for :period?</t>
        </is>
      </c>
      <c r="E81" s="15" t="inlineStr">
        <is>
          <t>Show logged hours versus available hours for :employee_name.</t>
        </is>
      </c>
      <c r="F81" s="15" t="inlineStr">
        <is>
          <t>How utilized is :employee_name based on timesheets?</t>
        </is>
      </c>
      <c r="G81" s="15" t="inlineStr">
        <is>
          <t>employee_name, period</t>
        </is>
      </c>
      <c r="H81" s="15" t="inlineStr">
        <is>
          <t>Partial</t>
        </is>
      </c>
      <c r="I81" s="15" t="inlineStr">
        <is>
          <t>tbl_timesheets</t>
        </is>
      </c>
      <c r="J81" s="15" t="inlineStr">
        <is>
          <t>Not Applicable – Non-Direct Support</t>
        </is>
      </c>
      <c r="K81" s="15" t="inlineStr">
        <is>
          <t>Working hours and leave calendar required.</t>
        </is>
      </c>
      <c r="L81" s="16" t="n"/>
      <c r="M81" s="15" t="inlineStr">
        <is>
          <t>Pending</t>
        </is>
      </c>
      <c r="N81" s="15" t="inlineStr">
        <is>
          <t>Not applicable: schema support is not Direct.</t>
        </is>
      </c>
      <c r="O81" s="16" t="n"/>
      <c r="P81" s="15" t="inlineStr">
        <is>
          <t>—</t>
        </is>
      </c>
      <c r="Q81" s="15" t="inlineStr">
        <is>
          <t>N/A</t>
        </is>
      </c>
      <c r="R81" s="15" t="inlineStr">
        <is>
          <t>Blocked — Business Rule / Schema Gap</t>
        </is>
      </c>
    </row>
    <row r="82">
      <c r="A82" s="6" t="n">
        <v>81</v>
      </c>
      <c r="B82" s="15" t="inlineStr">
        <is>
          <t>Utilization</t>
        </is>
      </c>
      <c r="C82" s="15" t="inlineStr">
        <is>
          <t>project_resource_utilization</t>
        </is>
      </c>
      <c r="D82" s="15" t="inlineStr">
        <is>
          <t>Show utilization of resources on :project_name.</t>
        </is>
      </c>
      <c r="E82" s="15" t="inlineStr">
        <is>
          <t>How utilized is the team on :project_name?</t>
        </is>
      </c>
      <c r="F82" s="15" t="inlineStr">
        <is>
          <t>List project utilization by member.</t>
        </is>
      </c>
      <c r="G82" s="15" t="inlineStr">
        <is>
          <t>project_name, period</t>
        </is>
      </c>
      <c r="H82" s="15" t="inlineStr">
        <is>
          <t>Partial</t>
        </is>
      </c>
      <c r="I82" s="15" t="inlineStr">
        <is>
          <t>project users; timesheets; tasks</t>
        </is>
      </c>
      <c r="J82" s="15" t="inlineStr">
        <is>
          <t>Not Applicable – Non-Direct Support</t>
        </is>
      </c>
      <c r="K82" s="15" t="inlineStr">
        <is>
          <t>Choose allocation-based or timesheet-based method.</t>
        </is>
      </c>
      <c r="L82" s="16" t="n"/>
      <c r="M82" s="15" t="inlineStr">
        <is>
          <t>Pending</t>
        </is>
      </c>
      <c r="N82" s="15" t="inlineStr">
        <is>
          <t>Not applicable: schema support is not Direct.</t>
        </is>
      </c>
      <c r="O82" s="16" t="n"/>
      <c r="P82" s="15" t="inlineStr">
        <is>
          <t>—</t>
        </is>
      </c>
      <c r="Q82" s="15" t="inlineStr">
        <is>
          <t>N/A</t>
        </is>
      </c>
      <c r="R82" s="15" t="inlineStr">
        <is>
          <t>Blocked — Business Rule / Schema Gap</t>
        </is>
      </c>
    </row>
    <row r="83">
      <c r="A83" s="6" t="n">
        <v>82</v>
      </c>
      <c r="B83" s="15" t="inlineStr">
        <is>
          <t>Utilization</t>
        </is>
      </c>
      <c r="C83" s="15" t="inlineStr">
        <is>
          <t>low_utilization_users</t>
        </is>
      </c>
      <c r="D83" s="15" t="inlineStr">
        <is>
          <t>Who is below :threshold_percent utilization in :period?</t>
        </is>
      </c>
      <c r="E83" s="15" t="inlineStr">
        <is>
          <t>Show underutilized resources.</t>
        </is>
      </c>
      <c r="F83" s="15" t="inlineStr">
        <is>
          <t>List users below the utilization threshold.</t>
        </is>
      </c>
      <c r="G83" s="15" t="inlineStr">
        <is>
          <t>threshold_percent, period</t>
        </is>
      </c>
      <c r="H83" s="15" t="inlineStr">
        <is>
          <t>Partial</t>
        </is>
      </c>
      <c r="I83" s="15" t="inlineStr">
        <is>
          <t>project users; timesheets</t>
        </is>
      </c>
      <c r="J83" s="15" t="inlineStr">
        <is>
          <t>Not Applicable – Non-Direct Support</t>
        </is>
      </c>
      <c r="K83" s="15" t="inlineStr">
        <is>
          <t>Capacity and population rules required.</t>
        </is>
      </c>
      <c r="L83" s="16" t="n"/>
      <c r="M83" s="15" t="inlineStr">
        <is>
          <t>Pending</t>
        </is>
      </c>
      <c r="N83" s="15" t="inlineStr">
        <is>
          <t>Not applicable: schema support is not Direct.</t>
        </is>
      </c>
      <c r="O83" s="16" t="n"/>
      <c r="P83" s="15" t="inlineStr">
        <is>
          <t>—</t>
        </is>
      </c>
      <c r="Q83" s="15" t="inlineStr">
        <is>
          <t>N/A</t>
        </is>
      </c>
      <c r="R83" s="15" t="inlineStr">
        <is>
          <t>Blocked — Business Rule / Schema Gap</t>
        </is>
      </c>
    </row>
    <row r="84">
      <c r="A84" s="6" t="n">
        <v>83</v>
      </c>
      <c r="B84" s="15" t="inlineStr">
        <is>
          <t>Utilization</t>
        </is>
      </c>
      <c r="C84" s="15" t="inlineStr">
        <is>
          <t>high_utilization_users</t>
        </is>
      </c>
      <c r="D84" s="15" t="inlineStr">
        <is>
          <t>Who is above :threshold_percent utilization in :period?</t>
        </is>
      </c>
      <c r="E84" s="15" t="inlineStr">
        <is>
          <t>Show highly utilized resources.</t>
        </is>
      </c>
      <c r="F84" s="15" t="inlineStr">
        <is>
          <t>List users over the utilization threshold.</t>
        </is>
      </c>
      <c r="G84" s="15" t="inlineStr">
        <is>
          <t>threshold_percent, period</t>
        </is>
      </c>
      <c r="H84" s="15" t="inlineStr">
        <is>
          <t>Partial</t>
        </is>
      </c>
      <c r="I84" s="15" t="inlineStr">
        <is>
          <t>project users; timesheets</t>
        </is>
      </c>
      <c r="J84" s="15" t="inlineStr">
        <is>
          <t>Not Applicable – Non-Direct Support</t>
        </is>
      </c>
      <c r="K84" s="15" t="inlineStr">
        <is>
          <t>Capacity and overtime rules required.</t>
        </is>
      </c>
      <c r="L84" s="16" t="n"/>
      <c r="M84" s="15" t="inlineStr">
        <is>
          <t>Pending</t>
        </is>
      </c>
      <c r="N84" s="15" t="inlineStr">
        <is>
          <t>Not applicable: schema support is not Direct.</t>
        </is>
      </c>
      <c r="O84" s="16" t="n"/>
      <c r="P84" s="15" t="inlineStr">
        <is>
          <t>—</t>
        </is>
      </c>
      <c r="Q84" s="15" t="inlineStr">
        <is>
          <t>N/A</t>
        </is>
      </c>
      <c r="R84" s="15" t="inlineStr">
        <is>
          <t>Blocked — Business Rule / Schema Gap</t>
        </is>
      </c>
    </row>
    <row r="85">
      <c r="A85" s="6" t="n">
        <v>84</v>
      </c>
      <c r="B85" s="15" t="inlineStr">
        <is>
          <t>Utilization</t>
        </is>
      </c>
      <c r="C85" s="15" t="inlineStr">
        <is>
          <t>allocation_conflicts</t>
        </is>
      </c>
      <c r="D85" s="15" t="inlineStr">
        <is>
          <t>Who has allocations exceeding available capacity?</t>
        </is>
      </c>
      <c r="E85" s="15" t="inlineStr">
        <is>
          <t>Show overallocated users.</t>
        </is>
      </c>
      <c r="F85" s="15" t="inlineStr">
        <is>
          <t>List resource capacity conflicts.</t>
        </is>
      </c>
      <c r="G85" s="15" t="inlineStr">
        <is>
          <t>period</t>
        </is>
      </c>
      <c r="H85" s="15" t="inlineStr">
        <is>
          <t>Partial</t>
        </is>
      </c>
      <c r="I85" s="15" t="inlineStr">
        <is>
          <t>tbl_project_users.allocation_hrs</t>
        </is>
      </c>
      <c r="J85" s="15" t="inlineStr">
        <is>
          <t>Not Applicable – Non-Direct Support</t>
        </is>
      </c>
      <c r="K85" s="15" t="inlineStr">
        <is>
          <t>Allocation hours period basis must be known.</t>
        </is>
      </c>
      <c r="L85" s="16" t="n"/>
      <c r="M85" s="15" t="inlineStr">
        <is>
          <t>Pending</t>
        </is>
      </c>
      <c r="N85" s="15" t="inlineStr">
        <is>
          <t>Not applicable: schema support is not Direct.</t>
        </is>
      </c>
      <c r="O85" s="16" t="n"/>
      <c r="P85" s="15" t="inlineStr">
        <is>
          <t>—</t>
        </is>
      </c>
      <c r="Q85" s="15" t="inlineStr">
        <is>
          <t>N/A</t>
        </is>
      </c>
      <c r="R85" s="15" t="inlineStr">
        <is>
          <t>Blocked — Business Rule / Schema Gap</t>
        </is>
      </c>
    </row>
    <row r="86">
      <c r="A86" s="6" t="n">
        <v>85</v>
      </c>
      <c r="B86" s="15" t="inlineStr">
        <is>
          <t>Utilization</t>
        </is>
      </c>
      <c r="C86" s="15" t="inlineStr">
        <is>
          <t>idle_capacity</t>
        </is>
      </c>
      <c r="D86" s="15" t="inlineStr">
        <is>
          <t>How much idle capacity is available in :period?</t>
        </is>
      </c>
      <c r="E86" s="15" t="inlineStr">
        <is>
          <t>Show unused resource capacity.</t>
        </is>
      </c>
      <c r="F86" s="15" t="inlineStr">
        <is>
          <t>What capacity remains unallocated?</t>
        </is>
      </c>
      <c r="G86" s="15" t="inlineStr">
        <is>
          <t>period, population_scope</t>
        </is>
      </c>
      <c r="H86" s="15" t="inlineStr">
        <is>
          <t>Partial</t>
        </is>
      </c>
      <c r="I86" s="15" t="inlineStr">
        <is>
          <t>project users; users</t>
        </is>
      </c>
      <c r="J86" s="15" t="inlineStr">
        <is>
          <t>Not Applicable – Non-Direct Support</t>
        </is>
      </c>
      <c r="K86" s="15" t="inlineStr">
        <is>
          <t>Requires working calendar and eligible population.</t>
        </is>
      </c>
      <c r="L86" s="16" t="n"/>
      <c r="M86" s="15" t="inlineStr">
        <is>
          <t>Pending</t>
        </is>
      </c>
      <c r="N86" s="15" t="inlineStr">
        <is>
          <t>Not applicable: schema support is not Direct.</t>
        </is>
      </c>
      <c r="O86" s="16" t="n"/>
      <c r="P86" s="15" t="inlineStr">
        <is>
          <t>—</t>
        </is>
      </c>
      <c r="Q86" s="15" t="inlineStr">
        <is>
          <t>N/A</t>
        </is>
      </c>
      <c r="R86" s="15" t="inlineStr">
        <is>
          <t>Blocked — Business Rule / Schema Gap</t>
        </is>
      </c>
    </row>
    <row r="87">
      <c r="A87" s="6" t="n">
        <v>86</v>
      </c>
      <c r="B87" s="15" t="inlineStr">
        <is>
          <t>Utilization</t>
        </is>
      </c>
      <c r="C87" s="15" t="inlineStr">
        <is>
          <t>utilization_by_role</t>
        </is>
      </c>
      <c r="D87" s="15" t="inlineStr">
        <is>
          <t>Show utilization by project role for :period.</t>
        </is>
      </c>
      <c r="E87" s="15" t="inlineStr">
        <is>
          <t>Compare resource utilization across roles.</t>
        </is>
      </c>
      <c r="F87" s="15" t="inlineStr">
        <is>
          <t>What is utilization by role?</t>
        </is>
      </c>
      <c r="G87" s="15" t="inlineStr">
        <is>
          <t>period</t>
        </is>
      </c>
      <c r="H87" s="15" t="inlineStr">
        <is>
          <t>Partial</t>
        </is>
      </c>
      <c r="I87" s="15" t="inlineStr">
        <is>
          <t>project users.role_id; timesheets</t>
        </is>
      </c>
      <c r="J87" s="15" t="inlineStr">
        <is>
          <t>Not Applicable – Non-Direct Support</t>
        </is>
      </c>
      <c r="K87" s="15" t="inlineStr">
        <is>
          <t>Role master and capacity formula required.</t>
        </is>
      </c>
      <c r="L87" s="16" t="n"/>
      <c r="M87" s="15" t="inlineStr">
        <is>
          <t>Pending</t>
        </is>
      </c>
      <c r="N87" s="15" t="inlineStr">
        <is>
          <t>Not applicable: schema support is not Direct.</t>
        </is>
      </c>
      <c r="O87" s="16" t="n"/>
      <c r="P87" s="15" t="inlineStr">
        <is>
          <t>—</t>
        </is>
      </c>
      <c r="Q87" s="15" t="inlineStr">
        <is>
          <t>N/A</t>
        </is>
      </c>
      <c r="R87" s="15" t="inlineStr">
        <is>
          <t>Blocked — Business Rule / Schema Gap</t>
        </is>
      </c>
    </row>
    <row r="88">
      <c r="A88" s="6" t="n">
        <v>87</v>
      </c>
      <c r="B88" s="15" t="inlineStr">
        <is>
          <t>Utilization</t>
        </is>
      </c>
      <c r="C88" s="15" t="inlineStr">
        <is>
          <t>utilization_by_department</t>
        </is>
      </c>
      <c r="D88" s="15" t="inlineStr">
        <is>
          <t>Show utilization for department :department_name in :period.</t>
        </is>
      </c>
      <c r="E88" s="15" t="inlineStr">
        <is>
          <t>How utilized is :department_name?</t>
        </is>
      </c>
      <c r="F88" s="15" t="inlineStr">
        <is>
          <t>Give department utilization.</t>
        </is>
      </c>
      <c r="G88" s="15" t="inlineStr">
        <is>
          <t>department_name, period</t>
        </is>
      </c>
      <c r="H88" s="15" t="inlineStr">
        <is>
          <t>Partial</t>
        </is>
      </c>
      <c r="I88" s="15" t="inlineStr">
        <is>
          <t>users; project users; timesheets</t>
        </is>
      </c>
      <c r="J88" s="15" t="inlineStr">
        <is>
          <t>Not Applicable – Non-Direct Support</t>
        </is>
      </c>
      <c r="K88" s="15" t="inlineStr">
        <is>
          <t>User-department mapping must be confirmed.</t>
        </is>
      </c>
      <c r="L88" s="16" t="n"/>
      <c r="M88" s="15" t="inlineStr">
        <is>
          <t>Pending</t>
        </is>
      </c>
      <c r="N88" s="15" t="inlineStr">
        <is>
          <t>Not applicable: schema support is not Direct.</t>
        </is>
      </c>
      <c r="O88" s="16" t="n"/>
      <c r="P88" s="15" t="inlineStr">
        <is>
          <t>—</t>
        </is>
      </c>
      <c r="Q88" s="15" t="inlineStr">
        <is>
          <t>N/A</t>
        </is>
      </c>
      <c r="R88" s="15" t="inlineStr">
        <is>
          <t>Blocked — Business Rule / Schema Gap</t>
        </is>
      </c>
    </row>
    <row r="89">
      <c r="A89" s="6" t="n">
        <v>88</v>
      </c>
      <c r="B89" s="15" t="inlineStr">
        <is>
          <t>Utilization</t>
        </is>
      </c>
      <c r="C89" s="15" t="inlineStr">
        <is>
          <t>forecast_utilization</t>
        </is>
      </c>
      <c r="D89" s="15" t="inlineStr">
        <is>
          <t>What is forecast utilization for :future_period?</t>
        </is>
      </c>
      <c r="E89" s="15" t="inlineStr">
        <is>
          <t>Show expected resource utilization next month.</t>
        </is>
      </c>
      <c r="F89" s="15" t="inlineStr">
        <is>
          <t>Forecast allocation-based utilization.</t>
        </is>
      </c>
      <c r="G89" s="15" t="inlineStr">
        <is>
          <t>future_period</t>
        </is>
      </c>
      <c r="H89" s="15" t="inlineStr">
        <is>
          <t>Partial</t>
        </is>
      </c>
      <c r="I89" s="15" t="inlineStr">
        <is>
          <t>tbl_project_users allocation dates/hours</t>
        </is>
      </c>
      <c r="J89" s="15" t="inlineStr">
        <is>
          <t>Not Applicable – Non-Direct Support</t>
        </is>
      </c>
      <c r="K89" s="15" t="inlineStr">
        <is>
          <t>Only allocation-based forecast appears possible from schema.</t>
        </is>
      </c>
      <c r="L89" s="16" t="n"/>
      <c r="M89" s="15" t="inlineStr">
        <is>
          <t>Pending</t>
        </is>
      </c>
      <c r="N89" s="15" t="inlineStr">
        <is>
          <t>Not applicable: schema support is not Direct.</t>
        </is>
      </c>
      <c r="O89" s="16" t="n"/>
      <c r="P89" s="15" t="inlineStr">
        <is>
          <t>—</t>
        </is>
      </c>
      <c r="Q89" s="15" t="inlineStr">
        <is>
          <t>N/A</t>
        </is>
      </c>
      <c r="R89" s="15" t="inlineStr">
        <is>
          <t>Blocked — Business Rule / Schema Gap</t>
        </is>
      </c>
    </row>
    <row r="90">
      <c r="A90" s="6" t="n">
        <v>89</v>
      </c>
      <c r="B90" s="15" t="inlineStr">
        <is>
          <t>Estimation &amp; Financials</t>
        </is>
      </c>
      <c r="C90" s="15" t="inlineStr">
        <is>
          <t>project_estimate</t>
        </is>
      </c>
      <c r="D90" s="15" t="inlineStr">
        <is>
          <t>What is the estimate for :project_name?</t>
        </is>
      </c>
      <c r="E90" s="15" t="inlineStr">
        <is>
          <t>Show the project estimate value.</t>
        </is>
      </c>
      <c r="F90" s="15" t="inlineStr">
        <is>
          <t>How much effort is estimated for :project_name?</t>
        </is>
      </c>
      <c r="G90" s="15" t="inlineStr">
        <is>
          <t>project_name</t>
        </is>
      </c>
      <c r="H90" s="15" t="inlineStr">
        <is>
          <t>Direct</t>
        </is>
      </c>
      <c r="I90" s="15" t="inlineStr">
        <is>
          <t>tbl_projects.estimate</t>
        </is>
      </c>
      <c r="J90" s="15" t="inlineStr">
        <is>
          <t>Mapped – Direct Schema</t>
        </is>
      </c>
      <c r="K90" s="15" t="inlineStr">
        <is>
          <t>Confirm whether estimate is hours, days, or cost.</t>
        </is>
      </c>
      <c r="L90" s="15" t="inlineStr">
        <is>
          <t>SELECT p.project_id, p.project_key, p.title, p.estimate AS estimated_hours, p.is_approved FROM tbl_projects p WHERE p.title = :project_name AND p.status = 1 AND p.archive = 0 ORDER BY p.project_id;</t>
        </is>
      </c>
      <c r="M90" s="15" t="inlineStr">
        <is>
          <t>Pending</t>
        </is>
      </c>
      <c r="N90" s="15" t="inlineStr">
        <is>
          <t>Mapped from schema</t>
        </is>
      </c>
      <c r="O90" s="16" t="n"/>
      <c r="P90" s="15" t="inlineStr">
        <is>
          <t>—</t>
        </is>
      </c>
      <c r="Q90" s="15" t="inlineStr">
        <is>
          <t>Data Available</t>
        </is>
      </c>
      <c r="R90" s="15" t="inlineStr">
        <is>
          <t>Ready for Verification</t>
        </is>
      </c>
    </row>
    <row r="91">
      <c r="A91" s="6" t="n">
        <v>90</v>
      </c>
      <c r="B91" s="15" t="inlineStr">
        <is>
          <t>Estimation &amp; Financials</t>
        </is>
      </c>
      <c r="C91" s="15" t="inlineStr">
        <is>
          <t>project_hours_summary</t>
        </is>
      </c>
      <c r="D91" s="15" t="inlineStr">
        <is>
          <t>Show total booked and chargeable hours for :project_name.</t>
        </is>
      </c>
      <c r="E91" s="15" t="inlineStr">
        <is>
          <t>What are the booked versus chargeable hours?</t>
        </is>
      </c>
      <c r="F91" s="15" t="inlineStr">
        <is>
          <t>Summarize project hour totals.</t>
        </is>
      </c>
      <c r="G91" s="15" t="inlineStr">
        <is>
          <t>project_name</t>
        </is>
      </c>
      <c r="H91" s="15" t="inlineStr">
        <is>
          <t>Direct</t>
        </is>
      </c>
      <c r="I91" s="15" t="inlineStr">
        <is>
          <t>tbl_projects.total_hours_booked; total_chargable_hours</t>
        </is>
      </c>
      <c r="J91" s="15" t="inlineStr">
        <is>
          <t>Mapped – Direct Schema</t>
        </is>
      </c>
      <c r="K91" s="15" t="inlineStr">
        <is>
          <t>Confirm refresh/source logic.</t>
        </is>
      </c>
      <c r="L91" s="15" t="inlineStr">
        <is>
          <t>SELECT p.project_id, p.project_key, p.title, p.estimate AS estimated_hours, p.total_hours_booked, p.total_chargable_hours, p.grant_hours, p.combined_hours FROM tbl_projects p WHERE p.title = :project_name AND p.status = 1 AND p.archive = 0 ORDER BY p.project_id;</t>
        </is>
      </c>
      <c r="M91" s="15" t="inlineStr">
        <is>
          <t>Pending</t>
        </is>
      </c>
      <c r="N91" s="15" t="inlineStr">
        <is>
          <t>Mapped from schema</t>
        </is>
      </c>
      <c r="O91" s="16" t="n"/>
      <c r="P91" s="15" t="inlineStr">
        <is>
          <t>—</t>
        </is>
      </c>
      <c r="Q91" s="15" t="inlineStr">
        <is>
          <t>Data Available</t>
        </is>
      </c>
      <c r="R91" s="15" t="inlineStr">
        <is>
          <t>Ready for Verification</t>
        </is>
      </c>
    </row>
    <row r="92">
      <c r="A92" s="6" t="n">
        <v>91</v>
      </c>
      <c r="B92" s="15" t="inlineStr">
        <is>
          <t>Estimation &amp; Financials</t>
        </is>
      </c>
      <c r="C92" s="15" t="inlineStr">
        <is>
          <t>project_grant_hours</t>
        </is>
      </c>
      <c r="D92" s="15" t="inlineStr">
        <is>
          <t>How many grant hours does :project_name have?</t>
        </is>
      </c>
      <c r="E92" s="15" t="inlineStr">
        <is>
          <t>Show available grant hours.</t>
        </is>
      </c>
      <c r="F92" s="15" t="inlineStr">
        <is>
          <t>What are the granted hours for :project_name?</t>
        </is>
      </c>
      <c r="G92" s="15" t="inlineStr">
        <is>
          <t>project_name</t>
        </is>
      </c>
      <c r="H92" s="15" t="inlineStr">
        <is>
          <t>Partial</t>
        </is>
      </c>
      <c r="I92" s="15" t="inlineStr">
        <is>
          <t>tbl_projects archive/backup grant_hours</t>
        </is>
      </c>
      <c r="J92" s="15" t="inlineStr">
        <is>
          <t>Not Applicable – Non-Direct Support</t>
        </is>
      </c>
      <c r="K92" s="15" t="inlineStr">
        <is>
          <t>grant_hours was visible in archive/backup; confirm current tbl_projects column.</t>
        </is>
      </c>
      <c r="L92" s="16" t="n"/>
      <c r="M92" s="15" t="inlineStr">
        <is>
          <t>Pending</t>
        </is>
      </c>
      <c r="N92" s="15" t="inlineStr">
        <is>
          <t>Not applicable: schema support is not Direct.</t>
        </is>
      </c>
      <c r="O92" s="16" t="n"/>
      <c r="P92" s="15" t="inlineStr">
        <is>
          <t>—</t>
        </is>
      </c>
      <c r="Q92" s="15" t="inlineStr">
        <is>
          <t>N/A</t>
        </is>
      </c>
      <c r="R92" s="15" t="inlineStr">
        <is>
          <t>Blocked — Business Rule / Schema Gap</t>
        </is>
      </c>
    </row>
    <row r="93">
      <c r="A93" s="6" t="n">
        <v>92</v>
      </c>
      <c r="B93" s="15" t="inlineStr">
        <is>
          <t>Estimation &amp; Financials</t>
        </is>
      </c>
      <c r="C93" s="15" t="inlineStr">
        <is>
          <t>project_deal_value</t>
        </is>
      </c>
      <c r="D93" s="15" t="inlineStr">
        <is>
          <t>What is the deal value of :project_name?</t>
        </is>
      </c>
      <c r="E93" s="15" t="inlineStr">
        <is>
          <t>Show the commercial value of :project_name.</t>
        </is>
      </c>
      <c r="F93" s="15" t="inlineStr">
        <is>
          <t>What value is recorded for :project_name?</t>
        </is>
      </c>
      <c r="G93" s="15" t="inlineStr">
        <is>
          <t>project_name</t>
        </is>
      </c>
      <c r="H93" s="15" t="inlineStr">
        <is>
          <t>Partial</t>
        </is>
      </c>
      <c r="I93" s="15" t="inlineStr">
        <is>
          <t>tbl_projects.deal_value</t>
        </is>
      </c>
      <c r="J93" s="15" t="inlineStr">
        <is>
          <t>Not Applicable – Non-Direct Support</t>
        </is>
      </c>
      <c r="K93" s="15" t="inlineStr">
        <is>
          <t>Confirm currency and financial RBAC.</t>
        </is>
      </c>
      <c r="L93" s="16" t="n"/>
      <c r="M93" s="15" t="inlineStr">
        <is>
          <t>Pending</t>
        </is>
      </c>
      <c r="N93" s="15" t="inlineStr">
        <is>
          <t>Not applicable: schema support is not Direct.</t>
        </is>
      </c>
      <c r="O93" s="16" t="n"/>
      <c r="P93" s="15" t="inlineStr">
        <is>
          <t>—</t>
        </is>
      </c>
      <c r="Q93" s="15" t="inlineStr">
        <is>
          <t>N/A</t>
        </is>
      </c>
      <c r="R93" s="15" t="inlineStr">
        <is>
          <t>Blocked — Business Rule / Schema Gap</t>
        </is>
      </c>
    </row>
    <row r="94">
      <c r="A94" s="24" t="n">
        <v>93</v>
      </c>
      <c r="B94" s="25" t="inlineStr">
        <is>
          <t>Estimation &amp; Financials</t>
        </is>
      </c>
      <c r="C94" s="25" t="inlineStr">
        <is>
          <t>project_estimation_versions</t>
        </is>
      </c>
      <c r="D94" s="25" t="inlineStr">
        <is>
          <t>Show estimation versions for :project_name.</t>
        </is>
      </c>
      <c r="E94" s="25" t="inlineStr">
        <is>
          <t>List all estimates created for :project_name.</t>
        </is>
      </c>
      <c r="F94" s="25" t="inlineStr">
        <is>
          <t>What estimation revisions exist?</t>
        </is>
      </c>
      <c r="G94" s="25" t="inlineStr">
        <is>
          <t>project_name</t>
        </is>
      </c>
      <c r="H94" s="25" t="inlineStr">
        <is>
          <t>Direct</t>
        </is>
      </c>
      <c r="I94" s="25" t="inlineStr">
        <is>
          <t>tbl_project_estimation</t>
        </is>
      </c>
      <c r="J94" s="25" t="inlineStr">
        <is>
          <t>Mapped – Direct Schema</t>
        </is>
      </c>
      <c r="K94" s="25" t="inlineStr">
        <is>
          <t>Use version and status.</t>
        </is>
      </c>
      <c r="L94" s="25" t="inlineStr">
        <is>
          <t>SELECT e.estimation_id, e.project_id, e.version, e.estimation_status_id, es.status_name, e.review, e.user_id, e.reviewer_id, e.posted_on, e.updated_on FROM tbl_projects p JOIN tbl_project_estimation e ON e.project_id = p.project_id LEFT JOIN tbl_project_estimation_status es ON es.rca_status_id = e.estimation_status_id WHERE p.title = :project_name AND e.status = 1 ORDER BY e.updated_on DESC, e.estimation_id DESC;</t>
        </is>
      </c>
      <c r="M94" s="25" t="inlineStr">
        <is>
          <t>Pending</t>
        </is>
      </c>
      <c r="N94" s="25" t="inlineStr">
        <is>
          <t>Mapped from schema</t>
        </is>
      </c>
      <c r="O94" s="26" t="n"/>
      <c r="P94" s="25" t="inlineStr">
        <is>
          <t>tbl_project_estimation</t>
        </is>
      </c>
      <c r="Q94" s="25" t="inlineStr">
        <is>
          <t>No Data (Table Empty)</t>
        </is>
      </c>
      <c r="R94" s="25" t="inlineStr">
        <is>
          <t>Dead — Estimation Module Unused</t>
        </is>
      </c>
    </row>
    <row r="95">
      <c r="A95" s="24" t="n">
        <v>94</v>
      </c>
      <c r="B95" s="25" t="inlineStr">
        <is>
          <t>Estimation &amp; Financials</t>
        </is>
      </c>
      <c r="C95" s="25" t="inlineStr">
        <is>
          <t>project_estimation_status</t>
        </is>
      </c>
      <c r="D95" s="25" t="inlineStr">
        <is>
          <t>What is the estimation status for :project_name?</t>
        </is>
      </c>
      <c r="E95" s="25" t="inlineStr">
        <is>
          <t>Show whether the estimate is under review or approved.</t>
        </is>
      </c>
      <c r="F95" s="25" t="inlineStr">
        <is>
          <t>What stage is the project estimation in?</t>
        </is>
      </c>
      <c r="G95" s="25" t="inlineStr">
        <is>
          <t>project_name</t>
        </is>
      </c>
      <c r="H95" s="25" t="inlineStr">
        <is>
          <t>Direct</t>
        </is>
      </c>
      <c r="I95" s="25" t="inlineStr">
        <is>
          <t>tbl_project_estimation; estimation status</t>
        </is>
      </c>
      <c r="J95" s="25" t="inlineStr">
        <is>
          <t>Mapped – Direct Schema</t>
        </is>
      </c>
      <c r="K95" s="25" t="inlineStr">
        <is>
          <t>Lookup values required.</t>
        </is>
      </c>
      <c r="L95" s="25" t="inlineStr">
        <is>
          <t>SELECT e.estimation_id, e.version, e.estimation_status_id, es.status_name, es.status_type, e.review, e.updated_on FROM tbl_projects p JOIN tbl_project_estimation e ON e.project_id = p.project_id LEFT JOIN tbl_project_estimation_status es ON es.rca_status_id = e.estimation_status_id WHERE p.title = :project_name AND e.status = 1 ORDER BY e.updated_on DESC, e.estimation_id DESC;</t>
        </is>
      </c>
      <c r="M95" s="25" t="inlineStr">
        <is>
          <t>Pending</t>
        </is>
      </c>
      <c r="N95" s="25" t="inlineStr">
        <is>
          <t>Mapped from schema</t>
        </is>
      </c>
      <c r="O95" s="26" t="n"/>
      <c r="P95" s="25" t="inlineStr">
        <is>
          <t>tbl_project_estimation</t>
        </is>
      </c>
      <c r="Q95" s="25" t="inlineStr">
        <is>
          <t>No Data (Table Empty)</t>
        </is>
      </c>
      <c r="R95" s="25" t="inlineStr">
        <is>
          <t>Dead — Estimation Module Unused</t>
        </is>
      </c>
    </row>
    <row r="96">
      <c r="A96" s="24" t="n">
        <v>95</v>
      </c>
      <c r="B96" s="25" t="inlineStr">
        <is>
          <t>Estimation &amp; Financials</t>
        </is>
      </c>
      <c r="C96" s="25" t="inlineStr">
        <is>
          <t>estimation_summary</t>
        </is>
      </c>
      <c r="D96" s="25" t="inlineStr">
        <is>
          <t>Show the detailed estimation summary for :project_name.</t>
        </is>
      </c>
      <c r="E96" s="25" t="inlineStr">
        <is>
          <t>Break down design, development, QA, UAT, and support effort.</t>
        </is>
      </c>
      <c r="F96" s="25" t="inlineStr">
        <is>
          <t>Give me the estimate components for :project_name.</t>
        </is>
      </c>
      <c r="G96" s="25" t="inlineStr">
        <is>
          <t>project_name, version</t>
        </is>
      </c>
      <c r="H96" s="25" t="inlineStr">
        <is>
          <t>Direct</t>
        </is>
      </c>
      <c r="I96" s="25" t="inlineStr">
        <is>
          <t>tbl_estimation_summary; tbl_project_estimation</t>
        </is>
      </c>
      <c r="J96" s="25" t="inlineStr">
        <is>
          <t>Mapped – Direct Schema</t>
        </is>
      </c>
      <c r="K96" s="25" t="inlineStr">
        <is>
          <t>Field labels should be validated with business.</t>
        </is>
      </c>
      <c r="L96" s="25" t="inlineStr">
        <is>
          <t>SELECT e.estimation_id, e.version, s.dev_design, s.qa, s.effort, s.contingency, s.uat, s.total, s.support, s.grand_total, s.update_date FROM tbl_projects p JOIN tbl_project_estimation e ON e.project_id = p.project_id JOIN tbl_estimation_summary s ON s.estimation_id = e.estimation_id WHERE p.title = :project_name AND e.status = 1 ORDER BY e.updated_on DESC, s.update_date DESC;</t>
        </is>
      </c>
      <c r="M96" s="25" t="inlineStr">
        <is>
          <t>Pending</t>
        </is>
      </c>
      <c r="N96" s="25" t="inlineStr">
        <is>
          <t>Mapped from schema</t>
        </is>
      </c>
      <c r="O96" s="26" t="n"/>
      <c r="P96" s="25" t="inlineStr">
        <is>
          <t>tbl_estimation_summary, tbl_project_estimation</t>
        </is>
      </c>
      <c r="Q96" s="25" t="inlineStr">
        <is>
          <t>No Data (Table Empty)</t>
        </is>
      </c>
      <c r="R96" s="25" t="inlineStr">
        <is>
          <t>Dead — Estimation Module Unused</t>
        </is>
      </c>
    </row>
    <row r="97">
      <c r="A97" s="24" t="n">
        <v>96</v>
      </c>
      <c r="B97" s="25" t="inlineStr">
        <is>
          <t>Estimation &amp; Financials</t>
        </is>
      </c>
      <c r="C97" s="25" t="inlineStr">
        <is>
          <t>estimation_assumptions</t>
        </is>
      </c>
      <c r="D97" s="25" t="inlineStr">
        <is>
          <t>Show estimation assumptions for :project_name.</t>
        </is>
      </c>
      <c r="E97" s="25" t="inlineStr">
        <is>
          <t>What assumptions were used in the estimate?</t>
        </is>
      </c>
      <c r="F97" s="25" t="inlineStr">
        <is>
          <t>List assumptions for the selected estimation.</t>
        </is>
      </c>
      <c r="G97" s="25" t="inlineStr">
        <is>
          <t>project_name, version</t>
        </is>
      </c>
      <c r="H97" s="25" t="inlineStr">
        <is>
          <t>Direct</t>
        </is>
      </c>
      <c r="I97" s="25" t="inlineStr">
        <is>
          <t>tbl_estimation_asumption; project estimation</t>
        </is>
      </c>
      <c r="J97" s="25" t="inlineStr">
        <is>
          <t>Mapped – Direct Schema</t>
        </is>
      </c>
      <c r="K97" s="25" t="inlineStr">
        <is>
          <t>Spelling follows actual table name.</t>
        </is>
      </c>
      <c r="L97" s="25" t="inlineStr">
        <is>
          <t>SELECT e.estimation_id, e.version, a.id, a.assumption, a.updated_date FROM tbl_projects p JOIN tbl_project_estimation e ON e.project_id = p.project_id JOIN tbl_estimation_asumption a ON a.estimation_id = e.estimation_id WHERE p.title = :project_name AND e.status = 1 ORDER BY e.updated_on DESC, a.id;</t>
        </is>
      </c>
      <c r="M97" s="25" t="inlineStr">
        <is>
          <t>Pending</t>
        </is>
      </c>
      <c r="N97" s="25" t="inlineStr">
        <is>
          <t>Mapped from schema</t>
        </is>
      </c>
      <c r="O97" s="26" t="n"/>
      <c r="P97" s="25" t="inlineStr">
        <is>
          <t>tbl_estimation_asumption, tbl_project_estimation</t>
        </is>
      </c>
      <c r="Q97" s="25" t="inlineStr">
        <is>
          <t>No Data (Table Empty)</t>
        </is>
      </c>
      <c r="R97" s="25" t="inlineStr">
        <is>
          <t>Dead — Estimation Module Unused</t>
        </is>
      </c>
    </row>
    <row r="98">
      <c r="A98" s="24" t="n">
        <v>97</v>
      </c>
      <c r="B98" s="25" t="inlineStr">
        <is>
          <t>Estimation &amp; Financials</t>
        </is>
      </c>
      <c r="C98" s="25" t="inlineStr">
        <is>
          <t>estimation_risks</t>
        </is>
      </c>
      <c r="D98" s="25" t="inlineStr">
        <is>
          <t>Show estimation risks for :project_name.</t>
        </is>
      </c>
      <c r="E98" s="25" t="inlineStr">
        <is>
          <t>What risks were recorded with the estimate?</t>
        </is>
      </c>
      <c r="F98" s="25" t="inlineStr">
        <is>
          <t>List estimation-level risks.</t>
        </is>
      </c>
      <c r="G98" s="25" t="inlineStr">
        <is>
          <t>project_name, version</t>
        </is>
      </c>
      <c r="H98" s="25" t="inlineStr">
        <is>
          <t>Direct</t>
        </is>
      </c>
      <c r="I98" s="25" t="inlineStr">
        <is>
          <t>tbl_estimation_risks; project estimation</t>
        </is>
      </c>
      <c r="J98" s="25" t="inlineStr">
        <is>
          <t>Mapped – Direct Schema</t>
        </is>
      </c>
      <c r="K98" s="25" t="inlineStr">
        <is>
          <t>Distinct from project risk register.</t>
        </is>
      </c>
      <c r="L98" s="25" t="inlineStr">
        <is>
          <t>SELECT e.estimation_id, e.version, r.id, r.risks, r.updated_date FROM tbl_projects p JOIN tbl_project_estimation e ON e.project_id = p.project_id JOIN tbl_estimation_risks r ON r.estimation_id = e.estimation_id WHERE p.title = :project_name AND e.status = 1 ORDER BY e.updated_on DESC, r.id;</t>
        </is>
      </c>
      <c r="M98" s="25" t="inlineStr">
        <is>
          <t>Pending</t>
        </is>
      </c>
      <c r="N98" s="25" t="inlineStr">
        <is>
          <t>Mapped from schema</t>
        </is>
      </c>
      <c r="O98" s="26" t="n"/>
      <c r="P98" s="25" t="inlineStr">
        <is>
          <t>tbl_estimation_risks, tbl_project_estimation</t>
        </is>
      </c>
      <c r="Q98" s="25" t="inlineStr">
        <is>
          <t>No Data (Table Empty)</t>
        </is>
      </c>
      <c r="R98" s="25" t="inlineStr">
        <is>
          <t>Dead — Estimation Module Unused</t>
        </is>
      </c>
    </row>
    <row r="99">
      <c r="A99" s="6" t="n">
        <v>98</v>
      </c>
      <c r="B99" s="15" t="inlineStr">
        <is>
          <t>Estimation &amp; Financials</t>
        </is>
      </c>
      <c r="C99" s="15" t="inlineStr">
        <is>
          <t>infrastructure_cost_summary</t>
        </is>
      </c>
      <c r="D99" s="15" t="inlineStr">
        <is>
          <t>Show infrastructure cost estimates for :project_name.</t>
        </is>
      </c>
      <c r="E99" s="15" t="inlineStr">
        <is>
          <t>What monthly infrastructure cost is recorded?</t>
        </is>
      </c>
      <c r="F99" s="15" t="inlineStr">
        <is>
          <t>Summarize infrastructure requirement costs.</t>
        </is>
      </c>
      <c r="G99" s="15" t="inlineStr">
        <is>
          <t>project_name</t>
        </is>
      </c>
      <c r="H99" s="15" t="inlineStr">
        <is>
          <t>Direct</t>
        </is>
      </c>
      <c r="I99" s="15" t="inlineStr">
        <is>
          <t>project_requirements_lineitem; infrastructure requirements</t>
        </is>
      </c>
      <c r="J99" s="15" t="inlineStr">
        <is>
          <t>Mapped – Direct Schema</t>
        </is>
      </c>
      <c r="K99" s="15" t="inlineStr">
        <is>
          <t>Currency not explicit.</t>
        </is>
      </c>
      <c r="L99" s="15" t="inlineStr">
        <is>
          <t>SELECT ir.requirements_id, ir.project_id, ir.tag, ir.provided_by, li.service_category, li.tennancy, li.instance_type, li.region, li.operating_system, li.vcpu, li.memory, li.storage, li.cost, li.monthly_cost, li.version FROM tbl_projects p JOIN project_infrastructure_requirements ir ON ir.project_id = p.project_id JOIN project_requirements_lineitem li ON li.requirements_id = ir.requirements_id WHERE p.title = :project_name ORDER BY ir.requirements_id, li.sl_no;</t>
        </is>
      </c>
      <c r="M99" s="15" t="inlineStr">
        <is>
          <t>Pending</t>
        </is>
      </c>
      <c r="N99" s="15" t="inlineStr">
        <is>
          <t>Mapped from schema</t>
        </is>
      </c>
      <c r="O99" s="16" t="n"/>
      <c r="P99" s="15" t="inlineStr">
        <is>
          <t>—</t>
        </is>
      </c>
      <c r="Q99" s="15" t="inlineStr">
        <is>
          <t>Data Available</t>
        </is>
      </c>
      <c r="R99" s="15" t="inlineStr">
        <is>
          <t>Ready for Verification</t>
        </is>
      </c>
    </row>
    <row r="100">
      <c r="A100" s="6" t="n">
        <v>99</v>
      </c>
      <c r="B100" s="15" t="inlineStr">
        <is>
          <t>Estimation &amp; Financials</t>
        </is>
      </c>
      <c r="C100" s="15" t="inlineStr">
        <is>
          <t>project_budget_status</t>
        </is>
      </c>
      <c r="D100" s="15" t="inlineStr">
        <is>
          <t>What is the budget status of :project_name?</t>
        </is>
      </c>
      <c r="E100" s="15" t="inlineStr">
        <is>
          <t>How much project budget remains?</t>
        </is>
      </c>
      <c r="F100" s="15" t="inlineStr">
        <is>
          <t>Is :project_name within budget?</t>
        </is>
      </c>
      <c r="G100" s="15" t="inlineStr">
        <is>
          <t>project_name</t>
        </is>
      </c>
      <c r="H100" s="15" t="inlineStr">
        <is>
          <t>Not supported directly</t>
        </is>
      </c>
      <c r="I100" s="15" t="inlineStr">
        <is>
          <t>project/estimation tables</t>
        </is>
      </c>
      <c r="J100" s="15" t="inlineStr">
        <is>
          <t>Not Applicable – Non-Direct Support</t>
        </is>
      </c>
      <c r="K100" s="15" t="inlineStr">
        <is>
          <t>No explicit approved budget, actual cost, or remaining budget fields identified.</t>
        </is>
      </c>
      <c r="L100" s="16" t="n"/>
      <c r="M100" s="15" t="inlineStr">
        <is>
          <t>Pending</t>
        </is>
      </c>
      <c r="N100" s="15" t="inlineStr">
        <is>
          <t>Not applicable: schema support is not Direct.</t>
        </is>
      </c>
      <c r="O100" s="16" t="n"/>
      <c r="P100" s="15" t="inlineStr">
        <is>
          <t>—</t>
        </is>
      </c>
      <c r="Q100" s="15" t="inlineStr">
        <is>
          <t>N/A</t>
        </is>
      </c>
      <c r="R100" s="15" t="inlineStr">
        <is>
          <t>Blocked — Business Rule / Schema Gap</t>
        </is>
      </c>
    </row>
    <row r="101">
      <c r="A101" s="6" t="n">
        <v>100</v>
      </c>
      <c r="B101" s="15" t="inlineStr">
        <is>
          <t>Estimation &amp; Financials</t>
        </is>
      </c>
      <c r="C101" s="15" t="inlineStr">
        <is>
          <t>project_margin</t>
        </is>
      </c>
      <c r="D101" s="15" t="inlineStr">
        <is>
          <t>What is the margin of :project_name?</t>
        </is>
      </c>
      <c r="E101" s="15" t="inlineStr">
        <is>
          <t>Show revenue minus project cost.</t>
        </is>
      </c>
      <c r="F101" s="15" t="inlineStr">
        <is>
          <t>Is :project_name profitable?</t>
        </is>
      </c>
      <c r="G101" s="15" t="inlineStr">
        <is>
          <t>project_name</t>
        </is>
      </c>
      <c r="H101" s="15" t="inlineStr">
        <is>
          <t>Not supported directly</t>
        </is>
      </c>
      <c r="I101" s="15" t="inlineStr">
        <is>
          <t>tbl_projects.deal_value; partial cost data</t>
        </is>
      </c>
      <c r="J101" s="15" t="inlineStr">
        <is>
          <t>Not Applicable – Non-Direct Support</t>
        </is>
      </c>
      <c r="K101" s="15" t="inlineStr">
        <is>
          <t>Complete cost model and currency rules are absent.</t>
        </is>
      </c>
      <c r="L101" s="16" t="n"/>
      <c r="M101" s="15" t="inlineStr">
        <is>
          <t>Pending</t>
        </is>
      </c>
      <c r="N101" s="15" t="inlineStr">
        <is>
          <t>Not applicable: schema support is not Direct.</t>
        </is>
      </c>
      <c r="O101" s="16" t="n"/>
      <c r="P101" s="15" t="inlineStr">
        <is>
          <t>—</t>
        </is>
      </c>
      <c r="Q101" s="15" t="inlineStr">
        <is>
          <t>N/A</t>
        </is>
      </c>
      <c r="R101" s="15" t="inlineStr">
        <is>
          <t>Blocked — Business Rule / Schema Gap</t>
        </is>
      </c>
    </row>
    <row r="102">
      <c r="A102" s="6" t="n">
        <v>101</v>
      </c>
      <c r="B102" s="15" t="inlineStr">
        <is>
          <t>Risks</t>
        </is>
      </c>
      <c r="C102" s="15" t="inlineStr">
        <is>
          <t>open_project_risks</t>
        </is>
      </c>
      <c r="D102" s="15" t="inlineStr">
        <is>
          <t>What are the open risks for :project_name?</t>
        </is>
      </c>
      <c r="E102" s="15" t="inlineStr">
        <is>
          <t>Show unresolved risks on :project_name.</t>
        </is>
      </c>
      <c r="F102" s="15" t="inlineStr">
        <is>
          <t>List active project risks.</t>
        </is>
      </c>
      <c r="G102" s="15" t="inlineStr">
        <is>
          <t>project_name</t>
        </is>
      </c>
      <c r="H102" s="15" t="inlineStr">
        <is>
          <t>Derived</t>
        </is>
      </c>
      <c r="I102" s="15" t="inlineStr">
        <is>
          <t>tbl_risk; tbl_risk_status</t>
        </is>
      </c>
      <c r="J102" s="15" t="inlineStr">
        <is>
          <t>Not Applicable – Non-Direct Support</t>
        </is>
      </c>
      <c r="K102" s="15" t="inlineStr">
        <is>
          <t>Define open risk statuses.</t>
        </is>
      </c>
      <c r="L102" s="16" t="n"/>
      <c r="M102" s="15" t="inlineStr">
        <is>
          <t>Pending</t>
        </is>
      </c>
      <c r="N102" s="15" t="inlineStr">
        <is>
          <t>Not applicable: schema support is not Direct.</t>
        </is>
      </c>
      <c r="O102" s="16" t="n"/>
      <c r="P102" s="15" t="inlineStr">
        <is>
          <t>—</t>
        </is>
      </c>
      <c r="Q102" s="15" t="inlineStr">
        <is>
          <t>N/A</t>
        </is>
      </c>
      <c r="R102" s="15" t="inlineStr">
        <is>
          <t>Blocked — Business Rule / Schema Gap</t>
        </is>
      </c>
    </row>
    <row r="103">
      <c r="A103" s="6" t="n">
        <v>102</v>
      </c>
      <c r="B103" s="15" t="inlineStr">
        <is>
          <t>Risks</t>
        </is>
      </c>
      <c r="C103" s="15" t="inlineStr">
        <is>
          <t>high_priority_risks</t>
        </is>
      </c>
      <c r="D103" s="15" t="inlineStr">
        <is>
          <t>Which risks are high priority?</t>
        </is>
      </c>
      <c r="E103" s="15" t="inlineStr">
        <is>
          <t>Show critical project risks.</t>
        </is>
      </c>
      <c r="F103" s="15" t="inlineStr">
        <is>
          <t>List the highest-priority risks.</t>
        </is>
      </c>
      <c r="G103" s="15" t="inlineStr">
        <is>
          <t>project_scope</t>
        </is>
      </c>
      <c r="H103" s="15" t="inlineStr">
        <is>
          <t>Direct</t>
        </is>
      </c>
      <c r="I103" s="15" t="inlineStr">
        <is>
          <t>tbl_risk.risk_priority_id; tbl_risk_priority</t>
        </is>
      </c>
      <c r="J103" s="15" t="inlineStr">
        <is>
          <t>Mapped – Direct Schema</t>
        </is>
      </c>
      <c r="K103" s="15" t="inlineStr">
        <is>
          <t>Lookup values required.</t>
        </is>
      </c>
      <c r="L103" s="15" t="inlineStr">
        <is>
          <t>SELECT r.risk_id, r.reference_no, r.title, p.title AS project_title, rp.priority_name, r.rating, r.rating_color_code, r.target_closure_date, rs.status_name FROM tbl_risk r JOIN tbl_projects p ON p.project_id = r.project_id LEFT JOIN tbl_risk_priority rp ON rp.risk_priority_id = r.risk_priority_id LEFT JOIN tbl_risk_status rs ON rs.status_id = r.status_id WHERE LOWER(rp.priority_name) = 'high' AND r.status = 1 ORDER BY r.rating DESC, r.target_closure_date;</t>
        </is>
      </c>
      <c r="M103" s="15" t="inlineStr">
        <is>
          <t>Pending</t>
        </is>
      </c>
      <c r="N103" s="15" t="inlineStr">
        <is>
          <t>Mapped from schema</t>
        </is>
      </c>
      <c r="O103" s="16" t="n"/>
      <c r="P103" s="15" t="inlineStr">
        <is>
          <t>—</t>
        </is>
      </c>
      <c r="Q103" s="15" t="inlineStr">
        <is>
          <t>Data Available</t>
        </is>
      </c>
      <c r="R103" s="15" t="inlineStr">
        <is>
          <t>Ready for Verification</t>
        </is>
      </c>
    </row>
    <row r="104">
      <c r="A104" s="6" t="n">
        <v>103</v>
      </c>
      <c r="B104" s="15" t="inlineStr">
        <is>
          <t>Risks</t>
        </is>
      </c>
      <c r="C104" s="15" t="inlineStr">
        <is>
          <t>risk_details</t>
        </is>
      </c>
      <c r="D104" s="15" t="inlineStr">
        <is>
          <t>Show details of risk :risk_reference.</t>
        </is>
      </c>
      <c r="E104" s="15" t="inlineStr">
        <is>
          <t>Give me the risk record for :risk_reference.</t>
        </is>
      </c>
      <c r="F104" s="15" t="inlineStr">
        <is>
          <t>Open risk :risk_reference.</t>
        </is>
      </c>
      <c r="G104" s="15" t="inlineStr">
        <is>
          <t>risk_reference</t>
        </is>
      </c>
      <c r="H104" s="15" t="inlineStr">
        <is>
          <t>Direct</t>
        </is>
      </c>
      <c r="I104" s="15" t="inlineStr">
        <is>
          <t>tbl_risk</t>
        </is>
      </c>
      <c r="J104" s="15" t="inlineStr">
        <is>
          <t>Mapped – Direct Schema</t>
        </is>
      </c>
      <c r="K104" s="15" t="inlineStr">
        <is>
          <t>Use reference_no.</t>
        </is>
      </c>
      <c r="L104" s="15" t="inlineStr">
        <is>
          <t>SELECT r.risk_id, r.reference_no, r.title, r.description, r.cause, r.consequence, r.controls, r.action, p.title AS project_title, pr.probability_name, ri.impact_name, rp.priority_name, r.rating, r.rating_color_code, rs.status_name, r.owner_id, r.target_closure_date, r.revised_target_closure_date, r.date_raised, r.update_date FROM tbl_risk r JOIN tbl_projects p ON p.project_id = r.project_id LEFT JOIN tbl_risk_probability pr ON pr.probability_id = r.probability_id LEFT JOIN tbl_risk_impact ri ON ri.impact_id = r.impact_id LEFT JOIN tbl_risk_priority rp ON rp.risk_priority_id = r.risk_priority_id LEFT JOIN tbl_risk_status rs ON rs.status_id = r.status_id WHERE r.reference_no = :risk_reference AND r.status = 1;</t>
        </is>
      </c>
      <c r="M104" s="15" t="inlineStr">
        <is>
          <t>Pending</t>
        </is>
      </c>
      <c r="N104" s="15" t="inlineStr">
        <is>
          <t>Mapped from schema</t>
        </is>
      </c>
      <c r="O104" s="16" t="n"/>
      <c r="P104" s="15" t="inlineStr">
        <is>
          <t>—</t>
        </is>
      </c>
      <c r="Q104" s="15" t="inlineStr">
        <is>
          <t>Data Available</t>
        </is>
      </c>
      <c r="R104" s="15" t="inlineStr">
        <is>
          <t>Ready for Verification</t>
        </is>
      </c>
    </row>
    <row r="105">
      <c r="A105" s="6" t="n">
        <v>104</v>
      </c>
      <c r="B105" s="15" t="inlineStr">
        <is>
          <t>Risks</t>
        </is>
      </c>
      <c r="C105" s="15" t="inlineStr">
        <is>
          <t>risks_by_probability</t>
        </is>
      </c>
      <c r="D105" s="15" t="inlineStr">
        <is>
          <t>Show risks by probability.</t>
        </is>
      </c>
      <c r="E105" s="15" t="inlineStr">
        <is>
          <t>Group active risks by probability rating.</t>
        </is>
      </c>
      <c r="F105" s="15" t="inlineStr">
        <is>
          <t>How many risks are in each probability level?</t>
        </is>
      </c>
      <c r="G105" s="15" t="inlineStr">
        <is>
          <t>project_scope</t>
        </is>
      </c>
      <c r="H105" s="15" t="inlineStr">
        <is>
          <t>Direct</t>
        </is>
      </c>
      <c r="I105" s="15" t="inlineStr">
        <is>
          <t>tbl_risk; tbl_risk_probability</t>
        </is>
      </c>
      <c r="J105" s="15" t="inlineStr">
        <is>
          <t>Mapped – Direct Schema</t>
        </is>
      </c>
      <c r="K105" s="15" t="inlineStr">
        <is>
          <t>Lookup values required.</t>
        </is>
      </c>
      <c r="L105" s="15" t="inlineStr">
        <is>
          <t>SELECT pr.probability_id, pr.probability_name, pr.probability_value, COUNT(*) AS risk_count FROM tbl_risk r LEFT JOIN tbl_risk_probability pr ON pr.probability_id = r.probability_id WHERE r.status = 1 GROUP BY pr.probability_id, pr.probability_name, pr.probability_value ORDER BY pr.probability_value DESC;</t>
        </is>
      </c>
      <c r="M105" s="15" t="inlineStr">
        <is>
          <t>Pending</t>
        </is>
      </c>
      <c r="N105" s="15" t="inlineStr">
        <is>
          <t>Mapped from schema</t>
        </is>
      </c>
      <c r="O105" s="16" t="n"/>
      <c r="P105" s="15" t="inlineStr">
        <is>
          <t>—</t>
        </is>
      </c>
      <c r="Q105" s="15" t="inlineStr">
        <is>
          <t>Data Available</t>
        </is>
      </c>
      <c r="R105" s="15" t="inlineStr">
        <is>
          <t>Ready for Verification</t>
        </is>
      </c>
    </row>
    <row r="106">
      <c r="A106" s="6" t="n">
        <v>105</v>
      </c>
      <c r="B106" s="15" t="inlineStr">
        <is>
          <t>Risks</t>
        </is>
      </c>
      <c r="C106" s="15" t="inlineStr">
        <is>
          <t>risks_by_impact</t>
        </is>
      </c>
      <c r="D106" s="15" t="inlineStr">
        <is>
          <t>Show risks by impact.</t>
        </is>
      </c>
      <c r="E106" s="15" t="inlineStr">
        <is>
          <t>Group active risks by impact rating.</t>
        </is>
      </c>
      <c r="F106" s="15" t="inlineStr">
        <is>
          <t>How many risks are in each impact level?</t>
        </is>
      </c>
      <c r="G106" s="15" t="inlineStr">
        <is>
          <t>project_scope</t>
        </is>
      </c>
      <c r="H106" s="15" t="inlineStr">
        <is>
          <t>Direct</t>
        </is>
      </c>
      <c r="I106" s="15" t="inlineStr">
        <is>
          <t>tbl_risk; tbl_risk_impact</t>
        </is>
      </c>
      <c r="J106" s="15" t="inlineStr">
        <is>
          <t>Mapped – Direct Schema</t>
        </is>
      </c>
      <c r="K106" s="15" t="inlineStr">
        <is>
          <t>Lookup values required.</t>
        </is>
      </c>
      <c r="L106" s="15" t="inlineStr">
        <is>
          <t>SELECT ri.impact_id, ri.impact_name, ri.impact_value, COUNT(*) AS risk_count FROM tbl_risk r LEFT JOIN tbl_risk_impact ri ON ri.impact_id = r.impact_id WHERE r.status = 1 GROUP BY ri.impact_id, ri.impact_name, ri.impact_value ORDER BY ri.impact_value DESC;</t>
        </is>
      </c>
      <c r="M106" s="15" t="inlineStr">
        <is>
          <t>Pending</t>
        </is>
      </c>
      <c r="N106" s="15" t="inlineStr">
        <is>
          <t>Mapped from schema</t>
        </is>
      </c>
      <c r="O106" s="16" t="n"/>
      <c r="P106" s="15" t="inlineStr">
        <is>
          <t>—</t>
        </is>
      </c>
      <c r="Q106" s="15" t="inlineStr">
        <is>
          <t>Data Available</t>
        </is>
      </c>
      <c r="R106" s="15" t="inlineStr">
        <is>
          <t>Ready for Verification</t>
        </is>
      </c>
    </row>
    <row r="107">
      <c r="A107" s="6" t="n">
        <v>106</v>
      </c>
      <c r="B107" s="15" t="inlineStr">
        <is>
          <t>Risks</t>
        </is>
      </c>
      <c r="C107" s="15" t="inlineStr">
        <is>
          <t>risks_without_owner</t>
        </is>
      </c>
      <c r="D107" s="15" t="inlineStr">
        <is>
          <t>Which risks have no owner?</t>
        </is>
      </c>
      <c r="E107" s="15" t="inlineStr">
        <is>
          <t>Show unassigned risks.</t>
        </is>
      </c>
      <c r="F107" s="15" t="inlineStr">
        <is>
          <t>List risks without responsibility.</t>
        </is>
      </c>
      <c r="G107" s="15" t="inlineStr">
        <is>
          <t>project_scope</t>
        </is>
      </c>
      <c r="H107" s="15" t="inlineStr">
        <is>
          <t>Direct</t>
        </is>
      </c>
      <c r="I107" s="15" t="inlineStr">
        <is>
          <t>tbl_risk.owner_id/responsibility</t>
        </is>
      </c>
      <c r="J107" s="15" t="inlineStr">
        <is>
          <t>Mapped – Direct Schema</t>
        </is>
      </c>
      <c r="K107" s="15" t="inlineStr">
        <is>
          <t>Confirm owner_id versus responsibility.</t>
        </is>
      </c>
      <c r="L107" s="15" t="inlineStr">
        <is>
          <t>SELECT r.risk_id, r.reference_no, r.title, p.title AS project_title, r.owner_id, r.responsibility, r.target_closure_date FROM tbl_risk r JOIN tbl_projects p ON p.project_id = r.project_id WHERE (r.owner_id = 0 OR r.owner_id IS NULL) AND r.status = 1 ORDER BY r.target_closure_date, r.reference_no;</t>
        </is>
      </c>
      <c r="M107" s="15" t="inlineStr">
        <is>
          <t>Pending</t>
        </is>
      </c>
      <c r="N107" s="15" t="inlineStr">
        <is>
          <t>Mapped from schema</t>
        </is>
      </c>
      <c r="O107" s="16" t="n"/>
      <c r="P107" s="15" t="inlineStr">
        <is>
          <t>—</t>
        </is>
      </c>
      <c r="Q107" s="15" t="inlineStr">
        <is>
          <t>Data Available</t>
        </is>
      </c>
      <c r="R107" s="15" t="inlineStr">
        <is>
          <t>Ready for Verification</t>
        </is>
      </c>
    </row>
    <row r="108">
      <c r="A108" s="6" t="n">
        <v>107</v>
      </c>
      <c r="B108" s="15" t="inlineStr">
        <is>
          <t>Risks</t>
        </is>
      </c>
      <c r="C108" s="15" t="inlineStr">
        <is>
          <t>risk_actions_due</t>
        </is>
      </c>
      <c r="D108" s="15" t="inlineStr">
        <is>
          <t>Which risk actions are due by :date?</t>
        </is>
      </c>
      <c r="E108" s="15" t="inlineStr">
        <is>
          <t>Show mitigation work due soon.</t>
        </is>
      </c>
      <c r="F108" s="15" t="inlineStr">
        <is>
          <t>List risk actions approaching target closure.</t>
        </is>
      </c>
      <c r="G108" s="15" t="inlineStr">
        <is>
          <t>date</t>
        </is>
      </c>
      <c r="H108" s="15" t="inlineStr">
        <is>
          <t>Partial</t>
        </is>
      </c>
      <c r="I108" s="15" t="inlineStr">
        <is>
          <t>tbl_risk.target_closure_date; mitigation plans</t>
        </is>
      </c>
      <c r="J108" s="15" t="inlineStr">
        <is>
          <t>Not Applicable – Non-Direct Support</t>
        </is>
      </c>
      <c r="K108" s="15" t="inlineStr">
        <is>
          <t>Mitigation actions table lacks explicit due date.</t>
        </is>
      </c>
      <c r="L108" s="16" t="n"/>
      <c r="M108" s="15" t="inlineStr">
        <is>
          <t>Pending</t>
        </is>
      </c>
      <c r="N108" s="15" t="inlineStr">
        <is>
          <t>Not applicable: schema support is not Direct.</t>
        </is>
      </c>
      <c r="O108" s="16" t="n"/>
      <c r="P108" s="15" t="inlineStr">
        <is>
          <t>—</t>
        </is>
      </c>
      <c r="Q108" s="15" t="inlineStr">
        <is>
          <t>N/A</t>
        </is>
      </c>
      <c r="R108" s="15" t="inlineStr">
        <is>
          <t>Blocked — Business Rule / Schema Gap</t>
        </is>
      </c>
    </row>
    <row r="109">
      <c r="A109" s="6" t="n">
        <v>108</v>
      </c>
      <c r="B109" s="15" t="inlineStr">
        <is>
          <t>Risks</t>
        </is>
      </c>
      <c r="C109" s="15" t="inlineStr">
        <is>
          <t>overdue_risks</t>
        </is>
      </c>
      <c r="D109" s="15" t="inlineStr">
        <is>
          <t>Which open risks are past their target closure date?</t>
        </is>
      </c>
      <c r="E109" s="15" t="inlineStr">
        <is>
          <t>Show overdue unresolved risks.</t>
        </is>
      </c>
      <c r="F109" s="15" t="inlineStr">
        <is>
          <t>List risks missing target closure.</t>
        </is>
      </c>
      <c r="G109" s="15" t="inlineStr">
        <is>
          <t>as_of_date</t>
        </is>
      </c>
      <c r="H109" s="15" t="inlineStr">
        <is>
          <t>Derived</t>
        </is>
      </c>
      <c r="I109" s="15" t="inlineStr">
        <is>
          <t>tbl_risk; risk status</t>
        </is>
      </c>
      <c r="J109" s="15" t="inlineStr">
        <is>
          <t>Not Applicable – Non-Direct Support</t>
        </is>
      </c>
      <c r="K109" s="15" t="inlineStr">
        <is>
          <t>Define closed statuses and revised date precedence.</t>
        </is>
      </c>
      <c r="L109" s="16" t="n"/>
      <c r="M109" s="15" t="inlineStr">
        <is>
          <t>Pending</t>
        </is>
      </c>
      <c r="N109" s="15" t="inlineStr">
        <is>
          <t>Not applicable: schema support is not Direct.</t>
        </is>
      </c>
      <c r="O109" s="16" t="n"/>
      <c r="P109" s="15" t="inlineStr">
        <is>
          <t>—</t>
        </is>
      </c>
      <c r="Q109" s="15" t="inlineStr">
        <is>
          <t>N/A</t>
        </is>
      </c>
      <c r="R109" s="15" t="inlineStr">
        <is>
          <t>Blocked — Business Rule / Schema Gap</t>
        </is>
      </c>
    </row>
    <row r="110">
      <c r="A110" s="27" t="n">
        <v>109</v>
      </c>
      <c r="B110" s="23" t="inlineStr">
        <is>
          <t>Risks</t>
        </is>
      </c>
      <c r="C110" s="23" t="inlineStr">
        <is>
          <t>risk_history</t>
        </is>
      </c>
      <c r="D110" s="23" t="inlineStr">
        <is>
          <t>Show the status history of risk :risk_reference.</t>
        </is>
      </c>
      <c r="E110" s="23" t="inlineStr">
        <is>
          <t>How has risk :risk_reference changed?</t>
        </is>
      </c>
      <c r="F110" s="23" t="inlineStr">
        <is>
          <t>List updates to risk :risk_reference.</t>
        </is>
      </c>
      <c r="G110" s="23" t="inlineStr">
        <is>
          <t>risk_reference</t>
        </is>
      </c>
      <c r="H110" s="23" t="inlineStr">
        <is>
          <t>Direct</t>
        </is>
      </c>
      <c r="I110" s="23" t="inlineStr">
        <is>
          <t>tbl_risk_history; tbl_risk_update</t>
        </is>
      </c>
      <c r="J110" s="23" t="inlineStr">
        <is>
          <t>Mapped – Direct Schema</t>
        </is>
      </c>
      <c r="K110" s="23" t="inlineStr">
        <is>
          <t>Combine structured history and text updates.</t>
        </is>
      </c>
      <c r="L110" s="23" t="inlineStr">
        <is>
          <t>SELECT 'STATUS_HISTORY' AS record_type, h.post_date AS event_date, h.user_id, h.status_id, rs.status_name, h.probability_id, rp.probability_name, h.impact_id, ri.impact_name, NULL AS update_text FROM tbl_risk r JOIN tbl_risk_history h ON h.risk_id = r.risk_id LEFT JOIN tbl_risk_status rs ON rs.status_id = h.status_id LEFT JOIN tbl_risk_probability rp ON rp.probability_id = h.probability_id LEFT JOIN tbl_risk_impact ri ON ri.impact_id = h.impact_id WHERE r.reference_no = :risk_reference UNION ALL SELECT 'TEXT_UPDATE' AS record_type, u.post_date AS event_date, NULL AS user_id, NULL AS status_id, NULL AS status_name, NULL AS probability_id, NULL AS probability_name, NULL AS impact_id, NULL AS impact_name, u.updated_text AS update_text FROM tbl_risk r JOIN tbl_risk_update u ON u.risk_id = r.risk_id WHERE r.reference_no = :risk_reference AND u.status = 1 ORDER BY event_date DESC;</t>
        </is>
      </c>
      <c r="M110" s="23" t="inlineStr">
        <is>
          <t>Pending</t>
        </is>
      </c>
      <c r="N110" s="23" t="inlineStr">
        <is>
          <t>Mapped from schema</t>
        </is>
      </c>
      <c r="O110" s="22" t="n"/>
      <c r="P110" s="23" t="inlineStr">
        <is>
          <t>tbl_risk_update</t>
        </is>
      </c>
      <c r="Q110" s="23" t="inlineStr">
        <is>
          <t>Partial (One Source Empty)</t>
        </is>
      </c>
      <c r="R110" s="23" t="inlineStr">
        <is>
          <t>Partial — Status History Works, Text Updates Empty</t>
        </is>
      </c>
    </row>
    <row r="111">
      <c r="A111" s="6" t="n">
        <v>110</v>
      </c>
      <c r="B111" s="15" t="inlineStr">
        <is>
          <t>Risks</t>
        </is>
      </c>
      <c r="C111" s="15" t="inlineStr">
        <is>
          <t>risk_trend</t>
        </is>
      </c>
      <c r="D111" s="15" t="inlineStr">
        <is>
          <t>Show risk creation and closure trend for the last :months months.</t>
        </is>
      </c>
      <c r="E111" s="15" t="inlineStr">
        <is>
          <t>How are open risks trending?</t>
        </is>
      </c>
      <c r="F111" s="15" t="inlineStr">
        <is>
          <t>Give monthly risk movement.</t>
        </is>
      </c>
      <c r="G111" s="15" t="inlineStr">
        <is>
          <t>months</t>
        </is>
      </c>
      <c r="H111" s="15" t="inlineStr">
        <is>
          <t>Derived</t>
        </is>
      </c>
      <c r="I111" s="15" t="inlineStr">
        <is>
          <t>tbl_risk.date_raised/date_closed</t>
        </is>
      </c>
      <c r="J111" s="15" t="inlineStr">
        <is>
          <t>Not Applicable – Non-Direct Support</t>
        </is>
      </c>
      <c r="K111" s="15" t="inlineStr">
        <is>
          <t>Clarify point-in-time open count versus event counts.</t>
        </is>
      </c>
      <c r="L111" s="16" t="n"/>
      <c r="M111" s="15" t="inlineStr">
        <is>
          <t>Pending</t>
        </is>
      </c>
      <c r="N111" s="15" t="inlineStr">
        <is>
          <t>Not applicable: schema support is not Direct.</t>
        </is>
      </c>
      <c r="O111" s="16" t="n"/>
      <c r="P111" s="15" t="inlineStr">
        <is>
          <t>—</t>
        </is>
      </c>
      <c r="Q111" s="15" t="inlineStr">
        <is>
          <t>N/A</t>
        </is>
      </c>
      <c r="R111" s="15" t="inlineStr">
        <is>
          <t>Blocked — Business Rule / Schema Gap</t>
        </is>
      </c>
    </row>
    <row r="112">
      <c r="A112" s="6" t="n">
        <v>111</v>
      </c>
      <c r="B112" s="15" t="inlineStr">
        <is>
          <t>Issues &amp; Reporting</t>
        </is>
      </c>
      <c r="C112" s="15" t="inlineStr">
        <is>
          <t>open_project_issues</t>
        </is>
      </c>
      <c r="D112" s="15" t="inlineStr">
        <is>
          <t>What are the open issues for :project_name?</t>
        </is>
      </c>
      <c r="E112" s="15" t="inlineStr">
        <is>
          <t>Show unresolved issues on :project_name.</t>
        </is>
      </c>
      <c r="F112" s="15" t="inlineStr">
        <is>
          <t>List active project issues.</t>
        </is>
      </c>
      <c r="G112" s="15" t="inlineStr">
        <is>
          <t>project_name</t>
        </is>
      </c>
      <c r="H112" s="15" t="inlineStr">
        <is>
          <t>Derived</t>
        </is>
      </c>
      <c r="I112" s="15" t="inlineStr">
        <is>
          <t>tbl_project_issues; issue status</t>
        </is>
      </c>
      <c r="J112" s="15" t="inlineStr">
        <is>
          <t>Not Applicable – Non-Direct Support</t>
        </is>
      </c>
      <c r="K112" s="15" t="inlineStr">
        <is>
          <t>Define open issue statuses.</t>
        </is>
      </c>
      <c r="L112" s="16" t="n"/>
      <c r="M112" s="15" t="inlineStr">
        <is>
          <t>Pending</t>
        </is>
      </c>
      <c r="N112" s="15" t="inlineStr">
        <is>
          <t>Not applicable: schema support is not Direct.</t>
        </is>
      </c>
      <c r="O112" s="16" t="n"/>
      <c r="P112" s="15" t="inlineStr">
        <is>
          <t>—</t>
        </is>
      </c>
      <c r="Q112" s="15" t="inlineStr">
        <is>
          <t>N/A</t>
        </is>
      </c>
      <c r="R112" s="15" t="inlineStr">
        <is>
          <t>Blocked — Business Rule / Schema Gap</t>
        </is>
      </c>
    </row>
    <row r="113">
      <c r="A113" s="6" t="n">
        <v>112</v>
      </c>
      <c r="B113" s="15" t="inlineStr">
        <is>
          <t>Issues &amp; Reporting</t>
        </is>
      </c>
      <c r="C113" s="15" t="inlineStr">
        <is>
          <t>issue_details</t>
        </is>
      </c>
      <c r="D113" s="15" t="inlineStr">
        <is>
          <t>Show details of issue :issue_reference.</t>
        </is>
      </c>
      <c r="E113" s="15" t="inlineStr">
        <is>
          <t>Give me the issue record for :issue_reference.</t>
        </is>
      </c>
      <c r="F113" s="15" t="inlineStr">
        <is>
          <t>Open issue :issue_reference.</t>
        </is>
      </c>
      <c r="G113" s="15" t="inlineStr">
        <is>
          <t>issue_reference</t>
        </is>
      </c>
      <c r="H113" s="15" t="inlineStr">
        <is>
          <t>Direct</t>
        </is>
      </c>
      <c r="I113" s="15" t="inlineStr">
        <is>
          <t>tbl_project_issues</t>
        </is>
      </c>
      <c r="J113" s="15" t="inlineStr">
        <is>
          <t>Mapped – Direct Schema</t>
        </is>
      </c>
      <c r="K113" s="15" t="inlineStr">
        <is>
          <t>Use reference_no.</t>
        </is>
      </c>
      <c r="L113" s="15" t="inlineStr">
        <is>
          <t>SELECT i.issue_id, i.reference_no, i.title, i.description, p.title AS project_title, i.user_id AS raised_by_user_id, i.date_raised, i.date_closed, i.issue_status_id, s.status_name, i.severity, i.priority, i.impact, i.planned_closure_date, i.overdue_status, i.update_date FROM tbl_project_issues i JOIN tbl_projects p ON p.project_id = i.project_id LEFT JOIN tbl_project_issue_status s ON s.issue_status_id = i.issue_status_id WHERE i.reference_no = :issue_reference AND i.status = 1;</t>
        </is>
      </c>
      <c r="M113" s="15" t="inlineStr">
        <is>
          <t>Pending</t>
        </is>
      </c>
      <c r="N113" s="15" t="inlineStr">
        <is>
          <t>Mapped from schema</t>
        </is>
      </c>
      <c r="O113" s="16" t="n"/>
      <c r="P113" s="15" t="inlineStr">
        <is>
          <t>—</t>
        </is>
      </c>
      <c r="Q113" s="15" t="inlineStr">
        <is>
          <t>Data Available</t>
        </is>
      </c>
      <c r="R113" s="15" t="inlineStr">
        <is>
          <t>Ready for Verification</t>
        </is>
      </c>
    </row>
    <row r="114">
      <c r="A114" s="6" t="n">
        <v>113</v>
      </c>
      <c r="B114" s="15" t="inlineStr">
        <is>
          <t>Issues &amp; Reporting</t>
        </is>
      </c>
      <c r="C114" s="15" t="inlineStr">
        <is>
          <t>high_severity_issues</t>
        </is>
      </c>
      <c r="D114" s="15" t="inlineStr">
        <is>
          <t>Which issues have high severity?</t>
        </is>
      </c>
      <c r="E114" s="15" t="inlineStr">
        <is>
          <t>Show critical defects or issues.</t>
        </is>
      </c>
      <c r="F114" s="15" t="inlineStr">
        <is>
          <t>List high-severity open issues.</t>
        </is>
      </c>
      <c r="G114" s="15" t="inlineStr">
        <is>
          <t>project_scope</t>
        </is>
      </c>
      <c r="H114" s="15" t="inlineStr">
        <is>
          <t>Direct</t>
        </is>
      </c>
      <c r="I114" s="15" t="inlineStr">
        <is>
          <t>tbl_project_issues.severity</t>
        </is>
      </c>
      <c r="J114" s="15" t="inlineStr">
        <is>
          <t>Not Mapped – Lookup Values Required</t>
        </is>
      </c>
      <c r="K114" s="15" t="inlineStr">
        <is>
          <t>Severity values are not supplied.</t>
        </is>
      </c>
      <c r="L114" s="16" t="n"/>
      <c r="M114" s="15" t="inlineStr">
        <is>
          <t>Pending</t>
        </is>
      </c>
      <c r="N114" s="15" t="inlineStr">
        <is>
          <t>Not mapped: severity values/lookup meaning are not present in the schema dump.</t>
        </is>
      </c>
      <c r="O114" s="16" t="n"/>
      <c r="P114" s="15" t="inlineStr">
        <is>
          <t>—</t>
        </is>
      </c>
      <c r="Q114" s="15" t="inlineStr">
        <is>
          <t>N/A</t>
        </is>
      </c>
      <c r="R114" s="15" t="inlineStr">
        <is>
          <t>Blocked — Business Rule / Schema Gap</t>
        </is>
      </c>
    </row>
    <row r="115">
      <c r="A115" s="6" t="n">
        <v>114</v>
      </c>
      <c r="B115" s="15" t="inlineStr">
        <is>
          <t>Issues &amp; Reporting</t>
        </is>
      </c>
      <c r="C115" s="15" t="inlineStr">
        <is>
          <t>overdue_issues</t>
        </is>
      </c>
      <c r="D115" s="15" t="inlineStr">
        <is>
          <t>Which open issues are overdue?</t>
        </is>
      </c>
      <c r="E115" s="15" t="inlineStr">
        <is>
          <t>Show issues past planned closure date.</t>
        </is>
      </c>
      <c r="F115" s="15" t="inlineStr">
        <is>
          <t>List delayed unresolved issues.</t>
        </is>
      </c>
      <c r="G115" s="15" t="inlineStr">
        <is>
          <t>as_of_date</t>
        </is>
      </c>
      <c r="H115" s="15" t="inlineStr">
        <is>
          <t>Derived</t>
        </is>
      </c>
      <c r="I115" s="15" t="inlineStr">
        <is>
          <t>tbl_project_issues.planned_closure_date; issue status</t>
        </is>
      </c>
      <c r="J115" s="15" t="inlineStr">
        <is>
          <t>Not Applicable – Non-Direct Support</t>
        </is>
      </c>
      <c r="K115" s="15" t="inlineStr">
        <is>
          <t>Define open statuses and revised dates if any.</t>
        </is>
      </c>
      <c r="L115" s="16" t="n"/>
      <c r="M115" s="15" t="inlineStr">
        <is>
          <t>Pending</t>
        </is>
      </c>
      <c r="N115" s="15" t="inlineStr">
        <is>
          <t>Not applicable: schema support is not Direct.</t>
        </is>
      </c>
      <c r="O115" s="16" t="n"/>
      <c r="P115" s="15" t="inlineStr">
        <is>
          <t>—</t>
        </is>
      </c>
      <c r="Q115" s="15" t="inlineStr">
        <is>
          <t>N/A</t>
        </is>
      </c>
      <c r="R115" s="15" t="inlineStr">
        <is>
          <t>Blocked — Business Rule / Schema Gap</t>
        </is>
      </c>
    </row>
    <row r="116">
      <c r="A116" s="6" t="n">
        <v>115</v>
      </c>
      <c r="B116" s="15" t="inlineStr">
        <is>
          <t>Issues &amp; Reporting</t>
        </is>
      </c>
      <c r="C116" s="15" t="inlineStr">
        <is>
          <t>issues_by_status</t>
        </is>
      </c>
      <c r="D116" s="15" t="inlineStr">
        <is>
          <t>Show issue counts by status for :project_name.</t>
        </is>
      </c>
      <c r="E116" s="15" t="inlineStr">
        <is>
          <t>Summarize issues by workflow status.</t>
        </is>
      </c>
      <c r="F116" s="15" t="inlineStr">
        <is>
          <t>How many issues are in each status?</t>
        </is>
      </c>
      <c r="G116" s="15" t="inlineStr">
        <is>
          <t>project_name</t>
        </is>
      </c>
      <c r="H116" s="15" t="inlineStr">
        <is>
          <t>Direct</t>
        </is>
      </c>
      <c r="I116" s="15" t="inlineStr">
        <is>
          <t>project issues; issue status</t>
        </is>
      </c>
      <c r="J116" s="15" t="inlineStr">
        <is>
          <t>Mapped – Direct Schema</t>
        </is>
      </c>
      <c r="K116" s="15" t="inlineStr">
        <is>
          <t>Lookup values required.</t>
        </is>
      </c>
      <c r="L116" s="15" t="inlineStr">
        <is>
          <t>SELECT s.issue_status_id, s.status_name, s.status_type, COUNT(*) AS issue_count FROM tbl_project_issues i JOIN tbl_projects p ON p.project_id = i.project_id LEFT JOIN tbl_project_issue_status s ON s.issue_status_id = i.issue_status_id WHERE p.title = :project_name AND i.status = 1 GROUP BY s.issue_status_id, s.status_name, s.status_type ORDER BY s.status_order, s.status_name;</t>
        </is>
      </c>
      <c r="M116" s="15" t="inlineStr">
        <is>
          <t>Pending</t>
        </is>
      </c>
      <c r="N116" s="15" t="inlineStr">
        <is>
          <t>Mapped from schema</t>
        </is>
      </c>
      <c r="O116" s="16" t="n"/>
      <c r="P116" s="15" t="inlineStr">
        <is>
          <t>—</t>
        </is>
      </c>
      <c r="Q116" s="15" t="inlineStr">
        <is>
          <t>Data Available</t>
        </is>
      </c>
      <c r="R116" s="15" t="inlineStr">
        <is>
          <t>Ready for Verification</t>
        </is>
      </c>
    </row>
    <row r="117">
      <c r="A117" s="6" t="n">
        <v>116</v>
      </c>
      <c r="B117" s="15" t="inlineStr">
        <is>
          <t>Issues &amp; Reporting</t>
        </is>
      </c>
      <c r="C117" s="15" t="inlineStr">
        <is>
          <t>issues_by_assignee</t>
        </is>
      </c>
      <c r="D117" s="15" t="inlineStr">
        <is>
          <t>Show issues assigned to :employee_name.</t>
        </is>
      </c>
      <c r="E117" s="15" t="inlineStr">
        <is>
          <t>List :employee_name’s project issues.</t>
        </is>
      </c>
      <c r="F117" s="15" t="inlineStr">
        <is>
          <t>What issues is :employee_name responsible for?</t>
        </is>
      </c>
      <c r="G117" s="15" t="inlineStr">
        <is>
          <t>employee_name</t>
        </is>
      </c>
      <c r="H117" s="15" t="inlineStr">
        <is>
          <t>Partial</t>
        </is>
      </c>
      <c r="I117" s="15" t="inlineStr">
        <is>
          <t>tbl_project_issue_users; tbl_project_issues.user_id</t>
        </is>
      </c>
      <c r="J117" s="15" t="inlineStr">
        <is>
          <t>Not Applicable – Non-Direct Support</t>
        </is>
      </c>
      <c r="K117" s="15" t="inlineStr">
        <is>
          <t>Confirm primary owner versus additional users.</t>
        </is>
      </c>
      <c r="L117" s="16" t="n"/>
      <c r="M117" s="15" t="inlineStr">
        <is>
          <t>Pending</t>
        </is>
      </c>
      <c r="N117" s="15" t="inlineStr">
        <is>
          <t>Not applicable: schema support is not Direct.</t>
        </is>
      </c>
      <c r="O117" s="16" t="n"/>
      <c r="P117" s="15" t="inlineStr">
        <is>
          <t>—</t>
        </is>
      </c>
      <c r="Q117" s="15" t="inlineStr">
        <is>
          <t>N/A</t>
        </is>
      </c>
      <c r="R117" s="15" t="inlineStr">
        <is>
          <t>Blocked — Business Rule / Schema Gap</t>
        </is>
      </c>
    </row>
    <row r="118">
      <c r="A118" s="24" t="n">
        <v>117</v>
      </c>
      <c r="B118" s="25" t="inlineStr">
        <is>
          <t>Issues &amp; Reporting</t>
        </is>
      </c>
      <c r="C118" s="25" t="inlineStr">
        <is>
          <t>project_weekly_task_summary</t>
        </is>
      </c>
      <c r="D118" s="25" t="inlineStr">
        <is>
          <t>Show the weekly task summary for :project_name.</t>
        </is>
      </c>
      <c r="E118" s="25" t="inlineStr">
        <is>
          <t>Give scheduled, due, UAT, and closed task counts for the week.</t>
        </is>
      </c>
      <c r="F118" s="25" t="inlineStr">
        <is>
          <t>Summarize weekly task status.</t>
        </is>
      </c>
      <c r="G118" s="25" t="inlineStr">
        <is>
          <t>project_name, week_range</t>
        </is>
      </c>
      <c r="H118" s="25" t="inlineStr">
        <is>
          <t>Direct</t>
        </is>
      </c>
      <c r="I118" s="25" t="inlineStr">
        <is>
          <t>tbl_weekly_task_status</t>
        </is>
      </c>
      <c r="J118" s="25" t="inlineStr">
        <is>
          <t>Mapped – Direct Schema</t>
        </is>
      </c>
      <c r="K118" s="25" t="inlineStr">
        <is>
          <t>Confirm freshness and week_range format.</t>
        </is>
      </c>
      <c r="L118" s="25" t="inlineStr">
        <is>
          <t>SELECT w.id, w.project_id, p.title AS project_title, w.week_range, w.total_till_date, w.open_till_date, w.closed_till_date, w.carried_forward, w.scheduled_this_week, w.due_this_week, w.uat_this_week, w.closed_this_week, w.mail_sent FROM tbl_weekly_task_status w JOIN tbl_projects p ON p.project_id = w.project_id WHERE p.title = :project_name ORDER BY w.id DESC;</t>
        </is>
      </c>
      <c r="M118" s="25" t="inlineStr">
        <is>
          <t>Pending</t>
        </is>
      </c>
      <c r="N118" s="25" t="inlineStr">
        <is>
          <t>Mapped from schema</t>
        </is>
      </c>
      <c r="O118" s="26" t="n"/>
      <c r="P118" s="25" t="inlineStr">
        <is>
          <t>tbl_weekly_task_status</t>
        </is>
      </c>
      <c r="Q118" s="25" t="inlineStr">
        <is>
          <t>No Data (Table Empty)</t>
        </is>
      </c>
      <c r="R118" s="25" t="inlineStr">
        <is>
          <t>Dead — Weekly Reporting Unused</t>
        </is>
      </c>
    </row>
    <row r="119">
      <c r="A119" s="24" t="n">
        <v>118</v>
      </c>
      <c r="B119" s="25" t="inlineStr">
        <is>
          <t>Issues &amp; Reporting</t>
        </is>
      </c>
      <c r="C119" s="25" t="inlineStr">
        <is>
          <t>project_weekly_issue_summary</t>
        </is>
      </c>
      <c r="D119" s="25" t="inlineStr">
        <is>
          <t>Show the weekly issue summary for :project_name.</t>
        </is>
      </c>
      <c r="E119" s="25" t="inlineStr">
        <is>
          <t>Give raised, closed, and carried-forward issue counts.</t>
        </is>
      </c>
      <c r="F119" s="25" t="inlineStr">
        <is>
          <t>Summarize weekly issue status.</t>
        </is>
      </c>
      <c r="G119" s="25" t="inlineStr">
        <is>
          <t>project_name, week_range</t>
        </is>
      </c>
      <c r="H119" s="25" t="inlineStr">
        <is>
          <t>Direct</t>
        </is>
      </c>
      <c r="I119" s="25" t="inlineStr">
        <is>
          <t>tbl_weekly_issue_status</t>
        </is>
      </c>
      <c r="J119" s="25" t="inlineStr">
        <is>
          <t>Mapped – Direct Schema</t>
        </is>
      </c>
      <c r="K119" s="25" t="inlineStr">
        <is>
          <t>Confirm freshness and week_range format.</t>
        </is>
      </c>
      <c r="L119" s="25" t="inlineStr">
        <is>
          <t>SELECT w.id, w.project_id, p.title AS project_title, w.week_range, w.total_till_date, w.closed_till_date, w.carried_forward, w.raised_this_week, w.closed_this_week, w.mail_sent FROM tbl_weekly_issue_status w JOIN tbl_projects p ON p.project_id = w.project_id WHERE p.title = :project_name ORDER BY w.id DESC;</t>
        </is>
      </c>
      <c r="M119" s="25" t="inlineStr">
        <is>
          <t>Pending</t>
        </is>
      </c>
      <c r="N119" s="25" t="inlineStr">
        <is>
          <t>Mapped from schema</t>
        </is>
      </c>
      <c r="O119" s="26" t="n"/>
      <c r="P119" s="25" t="inlineStr">
        <is>
          <t>tbl_weekly_issue_status</t>
        </is>
      </c>
      <c r="Q119" s="25" t="inlineStr">
        <is>
          <t>No Data (Table Empty)</t>
        </is>
      </c>
      <c r="R119" s="25" t="inlineStr">
        <is>
          <t>Dead — Weekly Reporting Unused</t>
        </is>
      </c>
    </row>
    <row r="120">
      <c r="A120" s="6" t="n">
        <v>119</v>
      </c>
      <c r="B120" s="15" t="inlineStr">
        <is>
          <t>Issues &amp; Reporting</t>
        </is>
      </c>
      <c r="C120" s="15" t="inlineStr">
        <is>
          <t>project_executive_summary</t>
        </is>
      </c>
      <c r="D120" s="15" t="inlineStr">
        <is>
          <t>Show the latest executive summary for :project_name.</t>
        </is>
      </c>
      <c r="E120" s="15" t="inlineStr">
        <is>
          <t>Give the latest project management summary.</t>
        </is>
      </c>
      <c r="F120" s="15" t="inlineStr">
        <is>
          <t>What is the latest executive update for :project_name?</t>
        </is>
      </c>
      <c r="G120" s="15" t="inlineStr">
        <is>
          <t>project_name</t>
        </is>
      </c>
      <c r="H120" s="15" t="inlineStr">
        <is>
          <t>Direct</t>
        </is>
      </c>
      <c r="I120" s="15" t="inlineStr">
        <is>
          <t>tbl_project_executive_summary</t>
        </is>
      </c>
      <c r="J120" s="15" t="inlineStr">
        <is>
          <t>Mapped – Direct Schema</t>
        </is>
      </c>
      <c r="K120" s="15" t="inlineStr">
        <is>
          <t>Select latest by save_date/post_date.</t>
        </is>
      </c>
      <c r="L120" s="15" t="inlineStr">
        <is>
          <t>SELECT es.executive_id, es.project_id, p.title AS project_title, es.summary, es.stage, es.client_mood, es.live_issues, es.dev_issues, es.resource, es.dev, es.test, es.issues, es.risks, es.pm, es.remaining_tail, es.post_date, es.save_date FROM tbl_project_executive_summary es JOIN tbl_projects p ON p.project_id = es.project_id WHERE p.title = :project_name ORDER BY es.save_date DESC, es.post_date DESC LIMIT 1;</t>
        </is>
      </c>
      <c r="M120" s="15" t="inlineStr">
        <is>
          <t>Pending</t>
        </is>
      </c>
      <c r="N120" s="15" t="inlineStr">
        <is>
          <t>Mapped from schema</t>
        </is>
      </c>
      <c r="O120" s="16" t="n"/>
      <c r="P120" s="15" t="inlineStr">
        <is>
          <t>—</t>
        </is>
      </c>
      <c r="Q120" s="15" t="inlineStr">
        <is>
          <t>Data Available</t>
        </is>
      </c>
      <c r="R120" s="15" t="inlineStr">
        <is>
          <t>Ready for Verification</t>
        </is>
      </c>
    </row>
    <row r="121">
      <c r="A121" s="6" t="n">
        <v>120</v>
      </c>
      <c r="B121" s="15" t="inlineStr">
        <is>
          <t>Issues &amp; Reporting</t>
        </is>
      </c>
      <c r="C121" s="15" t="inlineStr">
        <is>
          <t>portfolio_health_summary</t>
        </is>
      </c>
      <c r="D121" s="15" t="inlineStr">
        <is>
          <t>Give me a portfolio health summary.</t>
        </is>
      </c>
      <c r="E121" s="15" t="inlineStr">
        <is>
          <t>Summarize projects, tasks, risks, and issues.</t>
        </is>
      </c>
      <c r="F121" s="15" t="inlineStr">
        <is>
          <t>Show the overall PMS health dashboard.</t>
        </is>
      </c>
      <c r="G121" s="15" t="inlineStr">
        <is>
          <t>current_user_scope, as_of_date</t>
        </is>
      </c>
      <c r="H121" s="15" t="inlineStr">
        <is>
          <t>Derived</t>
        </is>
      </c>
      <c r="I121" s="15" t="inlineStr">
        <is>
          <t>projects; tasks; risks; issues; weekly summaries</t>
        </is>
      </c>
      <c r="J121" s="15" t="inlineStr">
        <is>
          <t>Not Applicable – Non-Direct Support</t>
        </is>
      </c>
      <c r="K121" s="15" t="inlineStr">
        <is>
          <t>Define KPIs, visibility scope, and aggregation logic.</t>
        </is>
      </c>
      <c r="L121" s="16" t="n"/>
      <c r="M121" s="15" t="inlineStr">
        <is>
          <t>Pending</t>
        </is>
      </c>
      <c r="N121" s="15" t="inlineStr">
        <is>
          <t>Not applicable: schema support is not Direct.</t>
        </is>
      </c>
      <c r="O121" s="16" t="n"/>
      <c r="P121" s="15" t="inlineStr">
        <is>
          <t>—</t>
        </is>
      </c>
      <c r="Q121" s="15" t="inlineStr">
        <is>
          <t>N/A</t>
        </is>
      </c>
      <c r="R121" s="15" t="inlineStr">
        <is>
          <t>Blocked — Business Rule / Schema Gap</t>
        </is>
      </c>
    </row>
    <row r="122">
      <c r="D122" s="21" t="n"/>
      <c r="E122" s="21" t="n"/>
      <c r="F122" s="21" t="n"/>
      <c r="K122" s="21" t="n"/>
      <c r="L122" s="21" t="n"/>
      <c r="M122" s="21" t="n"/>
      <c r="N122" s="21" t="n"/>
    </row>
    <row r="123">
      <c r="D123" s="21" t="n"/>
      <c r="E123" s="21" t="n"/>
      <c r="F123" s="21" t="n"/>
      <c r="K123" s="21" t="n"/>
      <c r="L123" s="21" t="n"/>
      <c r="M123" s="21" t="n"/>
      <c r="N123" s="21" t="n"/>
    </row>
    <row r="124">
      <c r="D124" s="21" t="n"/>
      <c r="E124" s="21" t="n"/>
      <c r="F124" s="21" t="n"/>
      <c r="K124" s="21" t="n"/>
      <c r="L124" s="21" t="n"/>
      <c r="M124" s="21" t="n"/>
      <c r="N124" s="21" t="n"/>
    </row>
    <row r="125">
      <c r="D125" s="21" t="n"/>
      <c r="E125" s="21" t="n"/>
      <c r="F125" s="21" t="n"/>
      <c r="K125" s="21" t="n"/>
      <c r="L125" s="21" t="n"/>
      <c r="M125" s="21" t="n"/>
      <c r="N125" s="21" t="n"/>
    </row>
    <row r="126">
      <c r="D126" s="21" t="n"/>
      <c r="E126" s="21" t="n"/>
      <c r="F126" s="21" t="n"/>
      <c r="K126" s="21" t="n"/>
      <c r="L126" s="21" t="n"/>
      <c r="M126" s="21" t="n"/>
      <c r="N126" s="21" t="n"/>
    </row>
    <row r="127">
      <c r="D127" s="21" t="n"/>
      <c r="E127" s="21" t="n"/>
      <c r="F127" s="21" t="n"/>
      <c r="K127" s="21" t="n"/>
      <c r="L127" s="21" t="n"/>
      <c r="M127" s="21" t="n"/>
      <c r="N127" s="21" t="n"/>
    </row>
    <row r="128">
      <c r="D128" s="21" t="n"/>
      <c r="E128" s="21" t="n"/>
      <c r="F128" s="21" t="n"/>
      <c r="K128" s="21" t="n"/>
      <c r="L128" s="21" t="n"/>
      <c r="M128" s="21" t="n"/>
      <c r="N128" s="21" t="n"/>
    </row>
    <row r="129">
      <c r="D129" s="21" t="n"/>
      <c r="E129" s="21" t="n"/>
      <c r="F129" s="21" t="n"/>
      <c r="K129" s="21" t="n"/>
      <c r="L129" s="21" t="n"/>
      <c r="M129" s="21" t="n"/>
      <c r="N129" s="21" t="n"/>
    </row>
    <row r="130">
      <c r="D130" s="21" t="n"/>
      <c r="E130" s="21" t="n"/>
      <c r="F130" s="21" t="n"/>
      <c r="K130" s="21" t="n"/>
      <c r="L130" s="21" t="n"/>
      <c r="M130" s="21" t="n"/>
      <c r="N130" s="21" t="n"/>
    </row>
    <row r="131">
      <c r="D131" s="21" t="n"/>
      <c r="E131" s="21" t="n"/>
      <c r="F131" s="21" t="n"/>
      <c r="K131" s="21" t="n"/>
      <c r="L131" s="21" t="n"/>
      <c r="M131" s="21" t="n"/>
      <c r="N131" s="21" t="n"/>
    </row>
    <row r="132">
      <c r="D132" s="21" t="n"/>
      <c r="E132" s="21" t="n"/>
      <c r="F132" s="21" t="n"/>
      <c r="K132" s="21" t="n"/>
      <c r="L132" s="21" t="n"/>
      <c r="M132" s="21" t="n"/>
      <c r="N132" s="21" t="n"/>
    </row>
    <row r="133">
      <c r="D133" s="21" t="n"/>
      <c r="E133" s="21" t="n"/>
      <c r="F133" s="21" t="n"/>
      <c r="K133" s="21" t="n"/>
      <c r="L133" s="21" t="n"/>
      <c r="M133" s="21" t="n"/>
      <c r="N133" s="21" t="n"/>
    </row>
    <row r="134">
      <c r="D134" s="21" t="n"/>
      <c r="E134" s="21" t="n"/>
      <c r="F134" s="21" t="n"/>
      <c r="K134" s="21" t="n"/>
      <c r="L134" s="21" t="n"/>
      <c r="M134" s="21" t="n"/>
      <c r="N134" s="21" t="n"/>
    </row>
    <row r="135">
      <c r="D135" s="21" t="n"/>
      <c r="E135" s="21" t="n"/>
      <c r="F135" s="21" t="n"/>
      <c r="K135" s="21" t="n"/>
      <c r="L135" s="21" t="n"/>
      <c r="M135" s="21" t="n"/>
      <c r="N135" s="21" t="n"/>
    </row>
    <row r="136">
      <c r="D136" s="21" t="n"/>
      <c r="E136" s="21" t="n"/>
      <c r="F136" s="21" t="n"/>
      <c r="K136" s="21" t="n"/>
      <c r="L136" s="21" t="n"/>
      <c r="M136" s="21" t="n"/>
      <c r="N136" s="21" t="n"/>
    </row>
    <row r="137">
      <c r="D137" s="21" t="n"/>
      <c r="E137" s="21" t="n"/>
      <c r="F137" s="21" t="n"/>
      <c r="K137" s="21" t="n"/>
      <c r="L137" s="21" t="n"/>
      <c r="M137" s="21" t="n"/>
      <c r="N137" s="21" t="n"/>
    </row>
    <row r="138">
      <c r="D138" s="21" t="n"/>
      <c r="E138" s="21" t="n"/>
      <c r="F138" s="21" t="n"/>
      <c r="K138" s="21" t="n"/>
      <c r="L138" s="21" t="n"/>
      <c r="M138" s="21" t="n"/>
      <c r="N138" s="21" t="n"/>
    </row>
    <row r="139">
      <c r="D139" s="21" t="n"/>
      <c r="E139" s="21" t="n"/>
      <c r="F139" s="21" t="n"/>
      <c r="K139" s="21" t="n"/>
      <c r="L139" s="21" t="n"/>
      <c r="M139" s="21" t="n"/>
      <c r="N139" s="21" t="n"/>
    </row>
    <row r="140">
      <c r="D140" s="21" t="n"/>
      <c r="E140" s="21" t="n"/>
      <c r="F140" s="21" t="n"/>
      <c r="K140" s="21" t="n"/>
      <c r="L140" s="21" t="n"/>
      <c r="M140" s="21" t="n"/>
      <c r="N140" s="21" t="n"/>
    </row>
    <row r="141">
      <c r="D141" s="21" t="n"/>
      <c r="E141" s="21" t="n"/>
      <c r="F141" s="21" t="n"/>
      <c r="K141" s="21" t="n"/>
      <c r="L141" s="21" t="n"/>
      <c r="M141" s="21" t="n"/>
      <c r="N141" s="21" t="n"/>
    </row>
    <row r="142">
      <c r="D142" s="21" t="n"/>
      <c r="E142" s="21" t="n"/>
      <c r="F142" s="21" t="n"/>
      <c r="K142" s="21" t="n"/>
      <c r="L142" s="21" t="n"/>
      <c r="M142" s="21" t="n"/>
      <c r="N142" s="21" t="n"/>
    </row>
    <row r="143">
      <c r="D143" s="21" t="n"/>
      <c r="E143" s="21" t="n"/>
      <c r="F143" s="21" t="n"/>
      <c r="K143" s="21" t="n"/>
      <c r="L143" s="21" t="n"/>
      <c r="M143" s="21" t="n"/>
      <c r="N143" s="21" t="n"/>
    </row>
    <row r="144">
      <c r="D144" s="21" t="n"/>
      <c r="E144" s="21" t="n"/>
      <c r="F144" s="21" t="n"/>
      <c r="K144" s="21" t="n"/>
      <c r="L144" s="21" t="n"/>
      <c r="M144" s="21" t="n"/>
      <c r="N144" s="21" t="n"/>
    </row>
    <row r="145">
      <c r="D145" s="21" t="n"/>
      <c r="E145" s="21" t="n"/>
      <c r="F145" s="21" t="n"/>
      <c r="K145" s="21" t="n"/>
      <c r="L145" s="21" t="n"/>
      <c r="M145" s="21" t="n"/>
      <c r="N145" s="21" t="n"/>
    </row>
    <row r="146">
      <c r="D146" s="21" t="n"/>
      <c r="E146" s="21" t="n"/>
      <c r="F146" s="21" t="n"/>
      <c r="K146" s="21" t="n"/>
      <c r="L146" s="21" t="n"/>
      <c r="M146" s="21" t="n"/>
      <c r="N146" s="21" t="n"/>
    </row>
    <row r="147">
      <c r="D147" s="21" t="n"/>
      <c r="E147" s="21" t="n"/>
      <c r="F147" s="21" t="n"/>
      <c r="K147" s="21" t="n"/>
      <c r="L147" s="21" t="n"/>
      <c r="M147" s="21" t="n"/>
      <c r="N147" s="21" t="n"/>
    </row>
    <row r="148">
      <c r="D148" s="21" t="n"/>
      <c r="E148" s="21" t="n"/>
      <c r="F148" s="21" t="n"/>
      <c r="K148" s="21" t="n"/>
      <c r="L148" s="21" t="n"/>
      <c r="M148" s="21" t="n"/>
      <c r="N148" s="21" t="n"/>
    </row>
    <row r="149">
      <c r="D149" s="21" t="n"/>
      <c r="E149" s="21" t="n"/>
      <c r="F149" s="21" t="n"/>
      <c r="K149" s="21" t="n"/>
      <c r="L149" s="21" t="n"/>
      <c r="M149" s="21" t="n"/>
      <c r="N149" s="21" t="n"/>
    </row>
    <row r="150">
      <c r="D150" s="21" t="n"/>
      <c r="E150" s="21" t="n"/>
      <c r="F150" s="21" t="n"/>
      <c r="K150" s="21" t="n"/>
      <c r="L150" s="21" t="n"/>
      <c r="M150" s="21" t="n"/>
      <c r="N150" s="21" t="n"/>
    </row>
    <row r="151">
      <c r="D151" s="21" t="n"/>
      <c r="E151" s="21" t="n"/>
      <c r="F151" s="21" t="n"/>
      <c r="K151" s="21" t="n"/>
      <c r="L151" s="21" t="n"/>
      <c r="M151" s="21" t="n"/>
      <c r="N151" s="21" t="n"/>
    </row>
    <row r="152">
      <c r="D152" s="21" t="n"/>
      <c r="E152" s="21" t="n"/>
      <c r="F152" s="21" t="n"/>
      <c r="K152" s="21" t="n"/>
      <c r="L152" s="21" t="n"/>
      <c r="M152" s="21" t="n"/>
      <c r="N152" s="21" t="n"/>
    </row>
    <row r="153">
      <c r="D153" s="21" t="n"/>
      <c r="E153" s="21" t="n"/>
      <c r="F153" s="21" t="n"/>
      <c r="K153" s="21" t="n"/>
      <c r="L153" s="21" t="n"/>
      <c r="M153" s="21" t="n"/>
      <c r="N153" s="21" t="n"/>
    </row>
    <row r="154">
      <c r="D154" s="21" t="n"/>
      <c r="E154" s="21" t="n"/>
      <c r="F154" s="21" t="n"/>
      <c r="K154" s="21" t="n"/>
      <c r="L154" s="21" t="n"/>
      <c r="M154" s="21" t="n"/>
      <c r="N154" s="21" t="n"/>
    </row>
    <row r="155">
      <c r="D155" s="21" t="n"/>
      <c r="E155" s="21" t="n"/>
      <c r="F155" s="21" t="n"/>
      <c r="K155" s="21" t="n"/>
      <c r="L155" s="21" t="n"/>
      <c r="M155" s="21" t="n"/>
      <c r="N155" s="21" t="n"/>
    </row>
    <row r="156">
      <c r="D156" s="21" t="n"/>
      <c r="E156" s="21" t="n"/>
      <c r="F156" s="21" t="n"/>
      <c r="K156" s="21" t="n"/>
      <c r="L156" s="21" t="n"/>
      <c r="M156" s="21" t="n"/>
      <c r="N156" s="21" t="n"/>
    </row>
    <row r="157">
      <c r="D157" s="21" t="n"/>
      <c r="E157" s="21" t="n"/>
      <c r="F157" s="21" t="n"/>
      <c r="K157" s="21" t="n"/>
      <c r="L157" s="21" t="n"/>
      <c r="M157" s="21" t="n"/>
      <c r="N157" s="21" t="n"/>
    </row>
    <row r="158">
      <c r="D158" s="21" t="n"/>
      <c r="E158" s="21" t="n"/>
      <c r="F158" s="21" t="n"/>
      <c r="K158" s="21" t="n"/>
      <c r="L158" s="21" t="n"/>
      <c r="M158" s="21" t="n"/>
      <c r="N158" s="21" t="n"/>
    </row>
    <row r="159">
      <c r="D159" s="21" t="n"/>
      <c r="E159" s="21" t="n"/>
      <c r="F159" s="21" t="n"/>
      <c r="K159" s="21" t="n"/>
      <c r="L159" s="21" t="n"/>
      <c r="M159" s="21" t="n"/>
      <c r="N159" s="21" t="n"/>
    </row>
    <row r="160">
      <c r="D160" s="21" t="n"/>
      <c r="E160" s="21" t="n"/>
      <c r="F160" s="21" t="n"/>
      <c r="K160" s="21" t="n"/>
      <c r="L160" s="21" t="n"/>
      <c r="M160" s="21" t="n"/>
      <c r="N160" s="21" t="n"/>
    </row>
    <row r="161">
      <c r="D161" s="21" t="n"/>
      <c r="E161" s="21" t="n"/>
      <c r="F161" s="21" t="n"/>
      <c r="K161" s="21" t="n"/>
      <c r="L161" s="21" t="n"/>
      <c r="M161" s="21" t="n"/>
      <c r="N161" s="21" t="n"/>
    </row>
    <row r="162">
      <c r="D162" s="21" t="n"/>
      <c r="E162" s="21" t="n"/>
      <c r="F162" s="21" t="n"/>
      <c r="K162" s="21" t="n"/>
      <c r="L162" s="21" t="n"/>
      <c r="M162" s="21" t="n"/>
      <c r="N162" s="21" t="n"/>
    </row>
    <row r="163">
      <c r="D163" s="21" t="n"/>
      <c r="E163" s="21" t="n"/>
      <c r="F163" s="21" t="n"/>
      <c r="K163" s="21" t="n"/>
      <c r="L163" s="21" t="n"/>
      <c r="M163" s="21" t="n"/>
      <c r="N163" s="21" t="n"/>
    </row>
    <row r="164">
      <c r="D164" s="21" t="n"/>
      <c r="E164" s="21" t="n"/>
      <c r="F164" s="21" t="n"/>
      <c r="K164" s="21" t="n"/>
      <c r="L164" s="21" t="n"/>
      <c r="M164" s="21" t="n"/>
      <c r="N164" s="21" t="n"/>
    </row>
    <row r="165">
      <c r="D165" s="21" t="n"/>
      <c r="E165" s="21" t="n"/>
      <c r="F165" s="21" t="n"/>
      <c r="K165" s="21" t="n"/>
      <c r="L165" s="21" t="n"/>
      <c r="M165" s="21" t="n"/>
      <c r="N165" s="21" t="n"/>
    </row>
    <row r="166">
      <c r="D166" s="21" t="n"/>
      <c r="E166" s="21" t="n"/>
      <c r="F166" s="21" t="n"/>
      <c r="K166" s="21" t="n"/>
      <c r="L166" s="21" t="n"/>
      <c r="M166" s="21" t="n"/>
      <c r="N166" s="21" t="n"/>
    </row>
    <row r="167">
      <c r="D167" s="21" t="n"/>
      <c r="E167" s="21" t="n"/>
      <c r="F167" s="21" t="n"/>
      <c r="K167" s="21" t="n"/>
      <c r="L167" s="21" t="n"/>
      <c r="M167" s="21" t="n"/>
      <c r="N167" s="21" t="n"/>
    </row>
    <row r="168">
      <c r="D168" s="21" t="n"/>
      <c r="E168" s="21" t="n"/>
      <c r="F168" s="21" t="n"/>
      <c r="K168" s="21" t="n"/>
      <c r="L168" s="21" t="n"/>
      <c r="M168" s="21" t="n"/>
      <c r="N168" s="21" t="n"/>
    </row>
    <row r="169">
      <c r="D169" s="21" t="n"/>
      <c r="E169" s="21" t="n"/>
      <c r="F169" s="21" t="n"/>
      <c r="K169" s="21" t="n"/>
      <c r="L169" s="21" t="n"/>
      <c r="M169" s="21" t="n"/>
      <c r="N169" s="21" t="n"/>
    </row>
    <row r="170">
      <c r="D170" s="21" t="n"/>
      <c r="E170" s="21" t="n"/>
      <c r="F170" s="21" t="n"/>
      <c r="K170" s="21" t="n"/>
      <c r="L170" s="21" t="n"/>
      <c r="M170" s="21" t="n"/>
      <c r="N170" s="21" t="n"/>
    </row>
    <row r="171">
      <c r="D171" s="21" t="n"/>
      <c r="E171" s="21" t="n"/>
      <c r="F171" s="21" t="n"/>
      <c r="K171" s="21" t="n"/>
      <c r="L171" s="21" t="n"/>
      <c r="M171" s="21" t="n"/>
      <c r="N171" s="21" t="n"/>
    </row>
    <row r="172">
      <c r="D172" s="21" t="n"/>
      <c r="E172" s="21" t="n"/>
      <c r="F172" s="21" t="n"/>
      <c r="K172" s="21" t="n"/>
      <c r="L172" s="21" t="n"/>
      <c r="M172" s="21" t="n"/>
      <c r="N172" s="21" t="n"/>
    </row>
    <row r="173">
      <c r="D173" s="21" t="n"/>
      <c r="E173" s="21" t="n"/>
      <c r="F173" s="21" t="n"/>
      <c r="K173" s="21" t="n"/>
      <c r="L173" s="21" t="n"/>
      <c r="M173" s="21" t="n"/>
      <c r="N173" s="21" t="n"/>
    </row>
    <row r="174">
      <c r="D174" s="21" t="n"/>
      <c r="E174" s="21" t="n"/>
      <c r="F174" s="21" t="n"/>
      <c r="K174" s="21" t="n"/>
      <c r="L174" s="21" t="n"/>
      <c r="M174" s="21" t="n"/>
      <c r="N174" s="21" t="n"/>
    </row>
    <row r="175">
      <c r="D175" s="21" t="n"/>
      <c r="E175" s="21" t="n"/>
      <c r="F175" s="21" t="n"/>
      <c r="K175" s="21" t="n"/>
      <c r="L175" s="21" t="n"/>
      <c r="M175" s="21" t="n"/>
      <c r="N175" s="21" t="n"/>
    </row>
    <row r="176">
      <c r="D176" s="21" t="n"/>
      <c r="E176" s="21" t="n"/>
      <c r="F176" s="21" t="n"/>
      <c r="K176" s="21" t="n"/>
      <c r="L176" s="21" t="n"/>
      <c r="M176" s="21" t="n"/>
      <c r="N176" s="21" t="n"/>
    </row>
    <row r="177">
      <c r="D177" s="21" t="n"/>
      <c r="E177" s="21" t="n"/>
      <c r="F177" s="21" t="n"/>
      <c r="K177" s="21" t="n"/>
      <c r="L177" s="21" t="n"/>
      <c r="M177" s="21" t="n"/>
      <c r="N177" s="21" t="n"/>
    </row>
    <row r="178">
      <c r="D178" s="21" t="n"/>
      <c r="E178" s="21" t="n"/>
      <c r="F178" s="21" t="n"/>
      <c r="K178" s="21" t="n"/>
      <c r="L178" s="21" t="n"/>
      <c r="M178" s="21" t="n"/>
      <c r="N178" s="21" t="n"/>
    </row>
    <row r="179">
      <c r="D179" s="21" t="n"/>
      <c r="E179" s="21" t="n"/>
      <c r="F179" s="21" t="n"/>
      <c r="K179" s="21" t="n"/>
      <c r="L179" s="21" t="n"/>
      <c r="M179" s="21" t="n"/>
      <c r="N179" s="21" t="n"/>
    </row>
    <row r="180">
      <c r="D180" s="21" t="n"/>
      <c r="E180" s="21" t="n"/>
      <c r="F180" s="21" t="n"/>
      <c r="K180" s="21" t="n"/>
      <c r="L180" s="21" t="n"/>
      <c r="M180" s="21" t="n"/>
      <c r="N180" s="21" t="n"/>
    </row>
    <row r="181">
      <c r="D181" s="21" t="n"/>
      <c r="E181" s="21" t="n"/>
      <c r="F181" s="21" t="n"/>
      <c r="K181" s="21" t="n"/>
      <c r="L181" s="21" t="n"/>
      <c r="M181" s="21" t="n"/>
      <c r="N181" s="21" t="n"/>
    </row>
    <row r="182">
      <c r="D182" s="21" t="n"/>
      <c r="E182" s="21" t="n"/>
      <c r="F182" s="21" t="n"/>
      <c r="K182" s="21" t="n"/>
      <c r="L182" s="21" t="n"/>
      <c r="M182" s="21" t="n"/>
      <c r="N182" s="21" t="n"/>
    </row>
    <row r="183">
      <c r="D183" s="21" t="n"/>
      <c r="E183" s="21" t="n"/>
      <c r="F183" s="21" t="n"/>
      <c r="K183" s="21" t="n"/>
      <c r="L183" s="21" t="n"/>
      <c r="M183" s="21" t="n"/>
      <c r="N183" s="21" t="n"/>
    </row>
    <row r="184">
      <c r="D184" s="21" t="n"/>
      <c r="E184" s="21" t="n"/>
      <c r="F184" s="21" t="n"/>
      <c r="K184" s="21" t="n"/>
      <c r="L184" s="21" t="n"/>
      <c r="M184" s="21" t="n"/>
      <c r="N184" s="21" t="n"/>
    </row>
    <row r="185">
      <c r="D185" s="21" t="n"/>
      <c r="E185" s="21" t="n"/>
      <c r="F185" s="21" t="n"/>
      <c r="K185" s="21" t="n"/>
      <c r="L185" s="21" t="n"/>
      <c r="M185" s="21" t="n"/>
      <c r="N185" s="21" t="n"/>
    </row>
    <row r="186">
      <c r="D186" s="21" t="n"/>
      <c r="E186" s="21" t="n"/>
      <c r="F186" s="21" t="n"/>
      <c r="K186" s="21" t="n"/>
      <c r="L186" s="21" t="n"/>
      <c r="M186" s="21" t="n"/>
      <c r="N186" s="21" t="n"/>
    </row>
    <row r="187">
      <c r="D187" s="21" t="n"/>
      <c r="E187" s="21" t="n"/>
      <c r="F187" s="21" t="n"/>
      <c r="K187" s="21" t="n"/>
      <c r="L187" s="21" t="n"/>
      <c r="M187" s="21" t="n"/>
      <c r="N187" s="21" t="n"/>
    </row>
    <row r="188">
      <c r="D188" s="21" t="n"/>
      <c r="E188" s="21" t="n"/>
      <c r="F188" s="21" t="n"/>
      <c r="K188" s="21" t="n"/>
      <c r="L188" s="21" t="n"/>
      <c r="M188" s="21" t="n"/>
      <c r="N188" s="21" t="n"/>
    </row>
    <row r="189">
      <c r="D189" s="21" t="n"/>
      <c r="E189" s="21" t="n"/>
      <c r="F189" s="21" t="n"/>
      <c r="K189" s="21" t="n"/>
      <c r="L189" s="21" t="n"/>
      <c r="M189" s="21" t="n"/>
      <c r="N189" s="21" t="n"/>
    </row>
    <row r="190">
      <c r="D190" s="21" t="n"/>
      <c r="E190" s="21" t="n"/>
      <c r="F190" s="21" t="n"/>
      <c r="K190" s="21" t="n"/>
      <c r="L190" s="21" t="n"/>
      <c r="M190" s="21" t="n"/>
      <c r="N190" s="21" t="n"/>
    </row>
    <row r="191">
      <c r="D191" s="21" t="n"/>
      <c r="E191" s="21" t="n"/>
      <c r="F191" s="21" t="n"/>
      <c r="K191" s="21" t="n"/>
      <c r="L191" s="21" t="n"/>
      <c r="M191" s="21" t="n"/>
      <c r="N191" s="21" t="n"/>
    </row>
    <row r="192">
      <c r="D192" s="21" t="n"/>
      <c r="E192" s="21" t="n"/>
      <c r="F192" s="21" t="n"/>
      <c r="K192" s="21" t="n"/>
      <c r="L192" s="21" t="n"/>
      <c r="M192" s="21" t="n"/>
      <c r="N192" s="21" t="n"/>
    </row>
    <row r="193">
      <c r="D193" s="21" t="n"/>
      <c r="E193" s="21" t="n"/>
      <c r="F193" s="21" t="n"/>
      <c r="K193" s="21" t="n"/>
      <c r="L193" s="21" t="n"/>
      <c r="M193" s="21" t="n"/>
      <c r="N193" s="21" t="n"/>
    </row>
    <row r="194">
      <c r="D194" s="21" t="n"/>
      <c r="E194" s="21" t="n"/>
      <c r="F194" s="21" t="n"/>
      <c r="K194" s="21" t="n"/>
      <c r="L194" s="21" t="n"/>
      <c r="M194" s="21" t="n"/>
      <c r="N194" s="21" t="n"/>
    </row>
    <row r="195">
      <c r="D195" s="21" t="n"/>
      <c r="E195" s="21" t="n"/>
      <c r="F195" s="21" t="n"/>
      <c r="K195" s="21" t="n"/>
      <c r="L195" s="21" t="n"/>
      <c r="M195" s="21" t="n"/>
      <c r="N195" s="21" t="n"/>
    </row>
    <row r="196">
      <c r="D196" s="21" t="n"/>
      <c r="E196" s="21" t="n"/>
      <c r="F196" s="21" t="n"/>
      <c r="K196" s="21" t="n"/>
      <c r="L196" s="21" t="n"/>
      <c r="M196" s="21" t="n"/>
      <c r="N196" s="21" t="n"/>
    </row>
    <row r="197">
      <c r="D197" s="21" t="n"/>
      <c r="E197" s="21" t="n"/>
      <c r="F197" s="21" t="n"/>
      <c r="K197" s="21" t="n"/>
      <c r="L197" s="21" t="n"/>
      <c r="M197" s="21" t="n"/>
      <c r="N197" s="21" t="n"/>
    </row>
    <row r="198">
      <c r="D198" s="21" t="n"/>
      <c r="E198" s="21" t="n"/>
      <c r="F198" s="21" t="n"/>
      <c r="K198" s="21" t="n"/>
      <c r="L198" s="21" t="n"/>
      <c r="M198" s="21" t="n"/>
      <c r="N198" s="21" t="n"/>
    </row>
    <row r="199">
      <c r="D199" s="21" t="n"/>
      <c r="E199" s="21" t="n"/>
      <c r="F199" s="21" t="n"/>
      <c r="K199" s="21" t="n"/>
      <c r="L199" s="21" t="n"/>
      <c r="M199" s="21" t="n"/>
      <c r="N199" s="21" t="n"/>
    </row>
    <row r="200">
      <c r="D200" s="21" t="n"/>
      <c r="E200" s="21" t="n"/>
      <c r="F200" s="21" t="n"/>
      <c r="K200" s="21" t="n"/>
      <c r="L200" s="21" t="n"/>
      <c r="M200" s="21" t="n"/>
      <c r="N200" s="21" t="n"/>
    </row>
    <row r="201">
      <c r="D201" s="21" t="n"/>
      <c r="E201" s="21" t="n"/>
      <c r="F201" s="21" t="n"/>
      <c r="K201" s="21" t="n"/>
      <c r="L201" s="21" t="n"/>
      <c r="M201" s="21" t="n"/>
      <c r="N201" s="21" t="n"/>
    </row>
    <row r="202">
      <c r="D202" s="21" t="n"/>
      <c r="E202" s="21" t="n"/>
      <c r="F202" s="21" t="n"/>
      <c r="K202" s="21" t="n"/>
      <c r="L202" s="21" t="n"/>
      <c r="M202" s="21" t="n"/>
      <c r="N202" s="21" t="n"/>
    </row>
    <row r="203">
      <c r="D203" s="21" t="n"/>
      <c r="E203" s="21" t="n"/>
      <c r="F203" s="21" t="n"/>
      <c r="K203" s="21" t="n"/>
      <c r="L203" s="21" t="n"/>
      <c r="M203" s="21" t="n"/>
      <c r="N203" s="21" t="n"/>
    </row>
    <row r="204">
      <c r="D204" s="21" t="n"/>
      <c r="E204" s="21" t="n"/>
      <c r="F204" s="21" t="n"/>
      <c r="K204" s="21" t="n"/>
      <c r="L204" s="21" t="n"/>
      <c r="M204" s="21" t="n"/>
      <c r="N204" s="21" t="n"/>
    </row>
    <row r="205">
      <c r="D205" s="21" t="n"/>
      <c r="E205" s="21" t="n"/>
      <c r="F205" s="21" t="n"/>
      <c r="K205" s="21" t="n"/>
      <c r="L205" s="21" t="n"/>
      <c r="M205" s="21" t="n"/>
      <c r="N205" s="21" t="n"/>
    </row>
    <row r="206">
      <c r="D206" s="21" t="n"/>
      <c r="E206" s="21" t="n"/>
      <c r="F206" s="21" t="n"/>
      <c r="K206" s="21" t="n"/>
      <c r="L206" s="21" t="n"/>
      <c r="M206" s="21" t="n"/>
      <c r="N206" s="21" t="n"/>
    </row>
    <row r="207">
      <c r="D207" s="21" t="n"/>
      <c r="E207" s="21" t="n"/>
      <c r="F207" s="21" t="n"/>
      <c r="K207" s="21" t="n"/>
      <c r="L207" s="21" t="n"/>
      <c r="M207" s="21" t="n"/>
      <c r="N207" s="21" t="n"/>
    </row>
    <row r="208">
      <c r="D208" s="21" t="n"/>
      <c r="E208" s="21" t="n"/>
      <c r="F208" s="21" t="n"/>
      <c r="K208" s="21" t="n"/>
      <c r="L208" s="21" t="n"/>
      <c r="M208" s="21" t="n"/>
      <c r="N208" s="21" t="n"/>
    </row>
    <row r="209">
      <c r="D209" s="21" t="n"/>
      <c r="E209" s="21" t="n"/>
      <c r="F209" s="21" t="n"/>
      <c r="K209" s="21" t="n"/>
      <c r="L209" s="21" t="n"/>
      <c r="M209" s="21" t="n"/>
      <c r="N209" s="21" t="n"/>
    </row>
    <row r="210">
      <c r="D210" s="21" t="n"/>
      <c r="E210" s="21" t="n"/>
      <c r="F210" s="21" t="n"/>
      <c r="K210" s="21" t="n"/>
      <c r="L210" s="21" t="n"/>
      <c r="M210" s="21" t="n"/>
      <c r="N210" s="21" t="n"/>
    </row>
    <row r="211">
      <c r="D211" s="21" t="n"/>
      <c r="E211" s="21" t="n"/>
      <c r="F211" s="21" t="n"/>
      <c r="K211" s="21" t="n"/>
      <c r="L211" s="21" t="n"/>
      <c r="M211" s="21" t="n"/>
      <c r="N211" s="21" t="n"/>
    </row>
    <row r="212">
      <c r="D212" s="21" t="n"/>
      <c r="E212" s="21" t="n"/>
      <c r="F212" s="21" t="n"/>
      <c r="K212" s="21" t="n"/>
      <c r="L212" s="21" t="n"/>
      <c r="M212" s="21" t="n"/>
      <c r="N212" s="21" t="n"/>
    </row>
    <row r="213">
      <c r="D213" s="21" t="n"/>
      <c r="E213" s="21" t="n"/>
      <c r="F213" s="21" t="n"/>
      <c r="K213" s="21" t="n"/>
      <c r="L213" s="21" t="n"/>
      <c r="M213" s="21" t="n"/>
      <c r="N213" s="21" t="n"/>
    </row>
    <row r="214">
      <c r="D214" s="21" t="n"/>
      <c r="E214" s="21" t="n"/>
      <c r="F214" s="21" t="n"/>
      <c r="K214" s="21" t="n"/>
      <c r="L214" s="21" t="n"/>
      <c r="M214" s="21" t="n"/>
      <c r="N214" s="21" t="n"/>
    </row>
    <row r="215">
      <c r="D215" s="21" t="n"/>
      <c r="E215" s="21" t="n"/>
      <c r="F215" s="21" t="n"/>
      <c r="K215" s="21" t="n"/>
      <c r="L215" s="21" t="n"/>
      <c r="M215" s="21" t="n"/>
      <c r="N215" s="21" t="n"/>
    </row>
    <row r="216">
      <c r="D216" s="21" t="n"/>
      <c r="E216" s="21" t="n"/>
      <c r="F216" s="21" t="n"/>
      <c r="K216" s="21" t="n"/>
      <c r="L216" s="21" t="n"/>
      <c r="M216" s="21" t="n"/>
      <c r="N216" s="21" t="n"/>
    </row>
    <row r="217">
      <c r="D217" s="21" t="n"/>
      <c r="E217" s="21" t="n"/>
      <c r="F217" s="21" t="n"/>
      <c r="K217" s="21" t="n"/>
      <c r="L217" s="21" t="n"/>
      <c r="M217" s="21" t="n"/>
      <c r="N217" s="21" t="n"/>
    </row>
    <row r="218">
      <c r="D218" s="21" t="n"/>
      <c r="E218" s="21" t="n"/>
      <c r="F218" s="21" t="n"/>
      <c r="K218" s="21" t="n"/>
      <c r="L218" s="21" t="n"/>
      <c r="M218" s="21" t="n"/>
      <c r="N218" s="21" t="n"/>
    </row>
    <row r="219">
      <c r="D219" s="21" t="n"/>
      <c r="E219" s="21" t="n"/>
      <c r="F219" s="21" t="n"/>
      <c r="K219" s="21" t="n"/>
      <c r="L219" s="21" t="n"/>
      <c r="M219" s="21" t="n"/>
      <c r="N219" s="21" t="n"/>
    </row>
    <row r="220">
      <c r="D220" s="21" t="n"/>
      <c r="E220" s="21" t="n"/>
      <c r="F220" s="21" t="n"/>
      <c r="K220" s="21" t="n"/>
      <c r="L220" s="21" t="n"/>
      <c r="M220" s="21" t="n"/>
      <c r="N220" s="21" t="n"/>
    </row>
    <row r="221">
      <c r="D221" s="21" t="n"/>
      <c r="E221" s="21" t="n"/>
      <c r="F221" s="21" t="n"/>
      <c r="K221" s="21" t="n"/>
      <c r="L221" s="21" t="n"/>
      <c r="M221" s="21" t="n"/>
      <c r="N221" s="21" t="n"/>
    </row>
    <row r="222">
      <c r="D222" s="21" t="n"/>
      <c r="E222" s="21" t="n"/>
      <c r="F222" s="21" t="n"/>
      <c r="K222" s="21" t="n"/>
      <c r="L222" s="21" t="n"/>
      <c r="M222" s="21" t="n"/>
      <c r="N222" s="21" t="n"/>
    </row>
    <row r="223">
      <c r="D223" s="21" t="n"/>
      <c r="E223" s="21" t="n"/>
      <c r="F223" s="21" t="n"/>
      <c r="K223" s="21" t="n"/>
      <c r="L223" s="21" t="n"/>
      <c r="M223" s="21" t="n"/>
      <c r="N223" s="21" t="n"/>
    </row>
    <row r="224">
      <c r="D224" s="21" t="n"/>
      <c r="E224" s="21" t="n"/>
      <c r="F224" s="21" t="n"/>
      <c r="K224" s="21" t="n"/>
      <c r="L224" s="21" t="n"/>
      <c r="M224" s="21" t="n"/>
      <c r="N224" s="21" t="n"/>
    </row>
    <row r="225">
      <c r="D225" s="21" t="n"/>
      <c r="E225" s="21" t="n"/>
      <c r="F225" s="21" t="n"/>
      <c r="K225" s="21" t="n"/>
      <c r="L225" s="21" t="n"/>
      <c r="M225" s="21" t="n"/>
      <c r="N225" s="21" t="n"/>
    </row>
    <row r="226">
      <c r="D226" s="21" t="n"/>
      <c r="E226" s="21" t="n"/>
      <c r="F226" s="21" t="n"/>
      <c r="K226" s="21" t="n"/>
      <c r="L226" s="21" t="n"/>
      <c r="M226" s="21" t="n"/>
      <c r="N226" s="21" t="n"/>
    </row>
    <row r="227">
      <c r="D227" s="21" t="n"/>
      <c r="E227" s="21" t="n"/>
      <c r="F227" s="21" t="n"/>
      <c r="K227" s="21" t="n"/>
      <c r="L227" s="21" t="n"/>
      <c r="M227" s="21" t="n"/>
      <c r="N227" s="21" t="n"/>
    </row>
    <row r="228">
      <c r="D228" s="21" t="n"/>
      <c r="E228" s="21" t="n"/>
      <c r="F228" s="21" t="n"/>
      <c r="K228" s="21" t="n"/>
      <c r="L228" s="21" t="n"/>
      <c r="M228" s="21" t="n"/>
      <c r="N228" s="21" t="n"/>
    </row>
    <row r="229">
      <c r="D229" s="21" t="n"/>
      <c r="E229" s="21" t="n"/>
      <c r="F229" s="21" t="n"/>
      <c r="K229" s="21" t="n"/>
      <c r="L229" s="21" t="n"/>
      <c r="M229" s="21" t="n"/>
      <c r="N229" s="21" t="n"/>
    </row>
    <row r="230">
      <c r="D230" s="21" t="n"/>
      <c r="E230" s="21" t="n"/>
      <c r="F230" s="21" t="n"/>
      <c r="K230" s="21" t="n"/>
      <c r="L230" s="21" t="n"/>
      <c r="M230" s="21" t="n"/>
      <c r="N230" s="21" t="n"/>
    </row>
    <row r="231">
      <c r="D231" s="21" t="n"/>
      <c r="E231" s="21" t="n"/>
      <c r="F231" s="21" t="n"/>
      <c r="K231" s="21" t="n"/>
      <c r="L231" s="21" t="n"/>
      <c r="M231" s="21" t="n"/>
      <c r="N231" s="21" t="n"/>
    </row>
    <row r="232">
      <c r="D232" s="21" t="n"/>
      <c r="E232" s="21" t="n"/>
      <c r="F232" s="21" t="n"/>
      <c r="K232" s="21" t="n"/>
      <c r="L232" s="21" t="n"/>
      <c r="M232" s="21" t="n"/>
      <c r="N232" s="21" t="n"/>
    </row>
    <row r="233">
      <c r="D233" s="21" t="n"/>
      <c r="E233" s="21" t="n"/>
      <c r="F233" s="21" t="n"/>
      <c r="K233" s="21" t="n"/>
      <c r="L233" s="21" t="n"/>
      <c r="M233" s="21" t="n"/>
      <c r="N233" s="21" t="n"/>
    </row>
    <row r="234">
      <c r="D234" s="21" t="n"/>
      <c r="E234" s="21" t="n"/>
      <c r="F234" s="21" t="n"/>
      <c r="K234" s="21" t="n"/>
      <c r="L234" s="21" t="n"/>
      <c r="M234" s="21" t="n"/>
      <c r="N234" s="21" t="n"/>
    </row>
    <row r="235">
      <c r="D235" s="21" t="n"/>
      <c r="E235" s="21" t="n"/>
      <c r="F235" s="21" t="n"/>
      <c r="K235" s="21" t="n"/>
      <c r="L235" s="21" t="n"/>
      <c r="M235" s="21" t="n"/>
      <c r="N235" s="21" t="n"/>
    </row>
    <row r="236">
      <c r="D236" s="21" t="n"/>
      <c r="E236" s="21" t="n"/>
      <c r="F236" s="21" t="n"/>
      <c r="K236" s="21" t="n"/>
      <c r="L236" s="21" t="n"/>
      <c r="M236" s="21" t="n"/>
      <c r="N236" s="21" t="n"/>
    </row>
    <row r="237">
      <c r="D237" s="21" t="n"/>
      <c r="E237" s="21" t="n"/>
      <c r="F237" s="21" t="n"/>
      <c r="K237" s="21" t="n"/>
      <c r="L237" s="21" t="n"/>
      <c r="M237" s="21" t="n"/>
      <c r="N237" s="21" t="n"/>
    </row>
    <row r="238">
      <c r="D238" s="21" t="n"/>
      <c r="E238" s="21" t="n"/>
      <c r="F238" s="21" t="n"/>
      <c r="K238" s="21" t="n"/>
      <c r="L238" s="21" t="n"/>
      <c r="M238" s="21" t="n"/>
      <c r="N238" s="21" t="n"/>
    </row>
    <row r="239">
      <c r="D239" s="21" t="n"/>
      <c r="E239" s="21" t="n"/>
      <c r="F239" s="21" t="n"/>
      <c r="K239" s="21" t="n"/>
      <c r="L239" s="21" t="n"/>
      <c r="M239" s="21" t="n"/>
      <c r="N239" s="21" t="n"/>
    </row>
    <row r="240">
      <c r="D240" s="21" t="n"/>
      <c r="E240" s="21" t="n"/>
      <c r="F240" s="21" t="n"/>
      <c r="K240" s="21" t="n"/>
      <c r="L240" s="21" t="n"/>
      <c r="M240" s="21" t="n"/>
      <c r="N240" s="21" t="n"/>
    </row>
    <row r="241">
      <c r="D241" s="21" t="n"/>
      <c r="E241" s="21" t="n"/>
      <c r="F241" s="21" t="n"/>
      <c r="K241" s="21" t="n"/>
      <c r="L241" s="21" t="n"/>
      <c r="M241" s="21" t="n"/>
      <c r="N241" s="21" t="n"/>
    </row>
    <row r="242">
      <c r="D242" s="21" t="n"/>
      <c r="E242" s="21" t="n"/>
      <c r="F242" s="21" t="n"/>
      <c r="K242" s="21" t="n"/>
      <c r="L242" s="21" t="n"/>
      <c r="M242" s="21" t="n"/>
      <c r="N242" s="21" t="n"/>
    </row>
    <row r="243">
      <c r="D243" s="21" t="n"/>
      <c r="E243" s="21" t="n"/>
      <c r="F243" s="21" t="n"/>
      <c r="K243" s="21" t="n"/>
      <c r="L243" s="21" t="n"/>
      <c r="M243" s="21" t="n"/>
      <c r="N243" s="21" t="n"/>
    </row>
    <row r="244">
      <c r="D244" s="21" t="n"/>
      <c r="E244" s="21" t="n"/>
      <c r="F244" s="21" t="n"/>
      <c r="K244" s="21" t="n"/>
      <c r="L244" s="21" t="n"/>
      <c r="M244" s="21" t="n"/>
      <c r="N244" s="21" t="n"/>
    </row>
    <row r="245">
      <c r="D245" s="21" t="n"/>
      <c r="E245" s="21" t="n"/>
      <c r="F245" s="21" t="n"/>
      <c r="K245" s="21" t="n"/>
      <c r="L245" s="21" t="n"/>
      <c r="M245" s="21" t="n"/>
      <c r="N245" s="21" t="n"/>
    </row>
    <row r="246">
      <c r="D246" s="21" t="n"/>
      <c r="E246" s="21" t="n"/>
      <c r="F246" s="21" t="n"/>
      <c r="K246" s="21" t="n"/>
      <c r="L246" s="21" t="n"/>
      <c r="M246" s="21" t="n"/>
      <c r="N246" s="21" t="n"/>
    </row>
    <row r="247">
      <c r="D247" s="21" t="n"/>
      <c r="E247" s="21" t="n"/>
      <c r="F247" s="21" t="n"/>
      <c r="K247" s="21" t="n"/>
      <c r="L247" s="21" t="n"/>
      <c r="M247" s="21" t="n"/>
      <c r="N247" s="21" t="n"/>
    </row>
    <row r="248">
      <c r="D248" s="21" t="n"/>
      <c r="E248" s="21" t="n"/>
      <c r="F248" s="21" t="n"/>
      <c r="K248" s="21" t="n"/>
      <c r="L248" s="21" t="n"/>
      <c r="M248" s="21" t="n"/>
      <c r="N248" s="21" t="n"/>
    </row>
    <row r="249">
      <c r="D249" s="21" t="n"/>
      <c r="E249" s="21" t="n"/>
      <c r="F249" s="21" t="n"/>
      <c r="K249" s="21" t="n"/>
      <c r="L249" s="21" t="n"/>
      <c r="M249" s="21" t="n"/>
      <c r="N249" s="21" t="n"/>
    </row>
    <row r="250">
      <c r="D250" s="21" t="n"/>
      <c r="E250" s="21" t="n"/>
      <c r="F250" s="21" t="n"/>
      <c r="K250" s="21" t="n"/>
      <c r="L250" s="21" t="n"/>
      <c r="M250" s="21" t="n"/>
      <c r="N250" s="21" t="n"/>
    </row>
    <row r="251">
      <c r="D251" s="21" t="n"/>
      <c r="E251" s="21" t="n"/>
      <c r="F251" s="21" t="n"/>
      <c r="K251" s="21" t="n"/>
      <c r="L251" s="21" t="n"/>
      <c r="M251" s="21" t="n"/>
      <c r="N251" s="21" t="n"/>
    </row>
    <row r="252">
      <c r="D252" s="21" t="n"/>
      <c r="E252" s="21" t="n"/>
      <c r="F252" s="21" t="n"/>
      <c r="K252" s="21" t="n"/>
      <c r="L252" s="21" t="n"/>
      <c r="M252" s="21" t="n"/>
      <c r="N252" s="21" t="n"/>
    </row>
    <row r="253">
      <c r="D253" s="21" t="n"/>
      <c r="E253" s="21" t="n"/>
      <c r="F253" s="21" t="n"/>
      <c r="K253" s="21" t="n"/>
      <c r="L253" s="21" t="n"/>
      <c r="M253" s="21" t="n"/>
      <c r="N253" s="21" t="n"/>
    </row>
    <row r="254">
      <c r="D254" s="21" t="n"/>
      <c r="E254" s="21" t="n"/>
      <c r="F254" s="21" t="n"/>
      <c r="K254" s="21" t="n"/>
      <c r="L254" s="21" t="n"/>
      <c r="M254" s="21" t="n"/>
      <c r="N254" s="21" t="n"/>
    </row>
    <row r="255">
      <c r="D255" s="21" t="n"/>
      <c r="E255" s="21" t="n"/>
      <c r="F255" s="21" t="n"/>
      <c r="K255" s="21" t="n"/>
      <c r="L255" s="21" t="n"/>
      <c r="M255" s="21" t="n"/>
      <c r="N255" s="21" t="n"/>
    </row>
    <row r="256">
      <c r="D256" s="21" t="n"/>
      <c r="E256" s="21" t="n"/>
      <c r="F256" s="21" t="n"/>
      <c r="K256" s="21" t="n"/>
      <c r="L256" s="21" t="n"/>
      <c r="M256" s="21" t="n"/>
      <c r="N256" s="21" t="n"/>
    </row>
    <row r="257">
      <c r="D257" s="21" t="n"/>
      <c r="E257" s="21" t="n"/>
      <c r="F257" s="21" t="n"/>
      <c r="K257" s="21" t="n"/>
      <c r="L257" s="21" t="n"/>
      <c r="M257" s="21" t="n"/>
      <c r="N257" s="21" t="n"/>
    </row>
    <row r="258">
      <c r="D258" s="21" t="n"/>
      <c r="E258" s="21" t="n"/>
      <c r="F258" s="21" t="n"/>
      <c r="K258" s="21" t="n"/>
      <c r="L258" s="21" t="n"/>
      <c r="M258" s="21" t="n"/>
      <c r="N258" s="21" t="n"/>
    </row>
    <row r="259">
      <c r="D259" s="21" t="n"/>
      <c r="E259" s="21" t="n"/>
      <c r="F259" s="21" t="n"/>
      <c r="K259" s="21" t="n"/>
      <c r="L259" s="21" t="n"/>
      <c r="M259" s="21" t="n"/>
      <c r="N259" s="21" t="n"/>
    </row>
    <row r="260">
      <c r="D260" s="21" t="n"/>
      <c r="E260" s="21" t="n"/>
      <c r="F260" s="21" t="n"/>
      <c r="K260" s="21" t="n"/>
      <c r="L260" s="21" t="n"/>
      <c r="M260" s="21" t="n"/>
      <c r="N260" s="21" t="n"/>
    </row>
    <row r="261">
      <c r="D261" s="21" t="n"/>
      <c r="E261" s="21" t="n"/>
      <c r="F261" s="21" t="n"/>
      <c r="K261" s="21" t="n"/>
      <c r="L261" s="21" t="n"/>
      <c r="M261" s="21" t="n"/>
      <c r="N261" s="21" t="n"/>
    </row>
    <row r="262">
      <c r="D262" s="21" t="n"/>
      <c r="E262" s="21" t="n"/>
      <c r="F262" s="21" t="n"/>
      <c r="K262" s="21" t="n"/>
      <c r="L262" s="21" t="n"/>
      <c r="M262" s="21" t="n"/>
      <c r="N262" s="21" t="n"/>
    </row>
    <row r="263">
      <c r="D263" s="21" t="n"/>
      <c r="E263" s="21" t="n"/>
      <c r="F263" s="21" t="n"/>
      <c r="K263" s="21" t="n"/>
      <c r="L263" s="21" t="n"/>
      <c r="M263" s="21" t="n"/>
      <c r="N263" s="21" t="n"/>
    </row>
    <row r="264">
      <c r="D264" s="21" t="n"/>
      <c r="E264" s="21" t="n"/>
      <c r="F264" s="21" t="n"/>
      <c r="K264" s="21" t="n"/>
      <c r="L264" s="21" t="n"/>
      <c r="M264" s="21" t="n"/>
      <c r="N264" s="21" t="n"/>
    </row>
    <row r="265">
      <c r="D265" s="21" t="n"/>
      <c r="E265" s="21" t="n"/>
      <c r="F265" s="21" t="n"/>
      <c r="K265" s="21" t="n"/>
      <c r="L265" s="21" t="n"/>
      <c r="M265" s="21" t="n"/>
      <c r="N265" s="21" t="n"/>
    </row>
    <row r="266">
      <c r="D266" s="21" t="n"/>
      <c r="E266" s="21" t="n"/>
      <c r="F266" s="21" t="n"/>
      <c r="K266" s="21" t="n"/>
      <c r="L266" s="21" t="n"/>
      <c r="M266" s="21" t="n"/>
      <c r="N266" s="21" t="n"/>
    </row>
    <row r="267">
      <c r="D267" s="21" t="n"/>
      <c r="E267" s="21" t="n"/>
      <c r="F267" s="21" t="n"/>
      <c r="K267" s="21" t="n"/>
      <c r="L267" s="21" t="n"/>
      <c r="M267" s="21" t="n"/>
      <c r="N267" s="21" t="n"/>
    </row>
    <row r="268">
      <c r="D268" s="21" t="n"/>
      <c r="E268" s="21" t="n"/>
      <c r="F268" s="21" t="n"/>
      <c r="K268" s="21" t="n"/>
      <c r="L268" s="21" t="n"/>
      <c r="M268" s="21" t="n"/>
      <c r="N268" s="21" t="n"/>
    </row>
    <row r="269">
      <c r="D269" s="21" t="n"/>
      <c r="E269" s="21" t="n"/>
      <c r="F269" s="21" t="n"/>
      <c r="K269" s="21" t="n"/>
      <c r="L269" s="21" t="n"/>
      <c r="M269" s="21" t="n"/>
      <c r="N269" s="21" t="n"/>
    </row>
    <row r="270">
      <c r="D270" s="21" t="n"/>
      <c r="E270" s="21" t="n"/>
      <c r="F270" s="21" t="n"/>
      <c r="K270" s="21" t="n"/>
      <c r="L270" s="21" t="n"/>
      <c r="M270" s="21" t="n"/>
      <c r="N270" s="21" t="n"/>
    </row>
    <row r="271">
      <c r="D271" s="21" t="n"/>
      <c r="E271" s="21" t="n"/>
      <c r="F271" s="21" t="n"/>
      <c r="K271" s="21" t="n"/>
      <c r="L271" s="21" t="n"/>
      <c r="M271" s="21" t="n"/>
      <c r="N271" s="21" t="n"/>
    </row>
    <row r="272">
      <c r="D272" s="21" t="n"/>
      <c r="E272" s="21" t="n"/>
      <c r="F272" s="21" t="n"/>
      <c r="K272" s="21" t="n"/>
      <c r="L272" s="21" t="n"/>
      <c r="M272" s="21" t="n"/>
      <c r="N272" s="21" t="n"/>
    </row>
    <row r="273">
      <c r="D273" s="21" t="n"/>
      <c r="E273" s="21" t="n"/>
      <c r="F273" s="21" t="n"/>
      <c r="K273" s="21" t="n"/>
      <c r="L273" s="21" t="n"/>
      <c r="M273" s="21" t="n"/>
      <c r="N273" s="21" t="n"/>
    </row>
    <row r="274">
      <c r="D274" s="21" t="n"/>
      <c r="E274" s="21" t="n"/>
      <c r="F274" s="21" t="n"/>
      <c r="K274" s="21" t="n"/>
      <c r="L274" s="21" t="n"/>
      <c r="M274" s="21" t="n"/>
      <c r="N274" s="21" t="n"/>
    </row>
    <row r="275">
      <c r="D275" s="21" t="n"/>
      <c r="E275" s="21" t="n"/>
      <c r="F275" s="21" t="n"/>
      <c r="K275" s="21" t="n"/>
      <c r="L275" s="21" t="n"/>
      <c r="M275" s="21" t="n"/>
      <c r="N275" s="21" t="n"/>
    </row>
    <row r="276">
      <c r="D276" s="21" t="n"/>
      <c r="E276" s="21" t="n"/>
      <c r="F276" s="21" t="n"/>
      <c r="K276" s="21" t="n"/>
      <c r="L276" s="21" t="n"/>
      <c r="M276" s="21" t="n"/>
      <c r="N276" s="21" t="n"/>
    </row>
    <row r="277">
      <c r="D277" s="21" t="n"/>
      <c r="E277" s="21" t="n"/>
      <c r="F277" s="21" t="n"/>
      <c r="K277" s="21" t="n"/>
      <c r="L277" s="21" t="n"/>
      <c r="M277" s="21" t="n"/>
      <c r="N277" s="21" t="n"/>
    </row>
    <row r="278">
      <c r="D278" s="21" t="n"/>
      <c r="E278" s="21" t="n"/>
      <c r="F278" s="21" t="n"/>
      <c r="K278" s="21" t="n"/>
      <c r="L278" s="21" t="n"/>
      <c r="M278" s="21" t="n"/>
      <c r="N278" s="21" t="n"/>
    </row>
    <row r="279">
      <c r="D279" s="21" t="n"/>
      <c r="E279" s="21" t="n"/>
      <c r="F279" s="21" t="n"/>
      <c r="K279" s="21" t="n"/>
      <c r="L279" s="21" t="n"/>
      <c r="M279" s="21" t="n"/>
      <c r="N279" s="21" t="n"/>
    </row>
    <row r="280">
      <c r="D280" s="21" t="n"/>
      <c r="E280" s="21" t="n"/>
      <c r="F280" s="21" t="n"/>
      <c r="K280" s="21" t="n"/>
      <c r="L280" s="21" t="n"/>
      <c r="M280" s="21" t="n"/>
      <c r="N280" s="21" t="n"/>
    </row>
    <row r="281">
      <c r="D281" s="21" t="n"/>
      <c r="E281" s="21" t="n"/>
      <c r="F281" s="21" t="n"/>
      <c r="K281" s="21" t="n"/>
      <c r="L281" s="21" t="n"/>
      <c r="M281" s="21" t="n"/>
      <c r="N281" s="21" t="n"/>
    </row>
    <row r="282">
      <c r="D282" s="21" t="n"/>
      <c r="E282" s="21" t="n"/>
      <c r="F282" s="21" t="n"/>
      <c r="K282" s="21" t="n"/>
      <c r="L282" s="21" t="n"/>
      <c r="M282" s="21" t="n"/>
      <c r="N282" s="21" t="n"/>
    </row>
    <row r="283">
      <c r="D283" s="21" t="n"/>
      <c r="E283" s="21" t="n"/>
      <c r="F283" s="21" t="n"/>
      <c r="K283" s="21" t="n"/>
      <c r="L283" s="21" t="n"/>
      <c r="M283" s="21" t="n"/>
      <c r="N283" s="21" t="n"/>
    </row>
    <row r="284">
      <c r="D284" s="21" t="n"/>
      <c r="E284" s="21" t="n"/>
      <c r="F284" s="21" t="n"/>
      <c r="K284" s="21" t="n"/>
      <c r="L284" s="21" t="n"/>
      <c r="M284" s="21" t="n"/>
      <c r="N284" s="21" t="n"/>
    </row>
    <row r="285">
      <c r="D285" s="21" t="n"/>
      <c r="E285" s="21" t="n"/>
      <c r="F285" s="21" t="n"/>
      <c r="K285" s="21" t="n"/>
      <c r="L285" s="21" t="n"/>
      <c r="M285" s="21" t="n"/>
      <c r="N285" s="21" t="n"/>
    </row>
    <row r="286">
      <c r="D286" s="21" t="n"/>
      <c r="E286" s="21" t="n"/>
      <c r="F286" s="21" t="n"/>
      <c r="K286" s="21" t="n"/>
      <c r="L286" s="21" t="n"/>
      <c r="M286" s="21" t="n"/>
      <c r="N286" s="21" t="n"/>
    </row>
    <row r="287">
      <c r="D287" s="21" t="n"/>
      <c r="E287" s="21" t="n"/>
      <c r="F287" s="21" t="n"/>
      <c r="K287" s="21" t="n"/>
      <c r="L287" s="21" t="n"/>
      <c r="M287" s="21" t="n"/>
      <c r="N287" s="21" t="n"/>
    </row>
    <row r="288">
      <c r="D288" s="21" t="n"/>
      <c r="E288" s="21" t="n"/>
      <c r="F288" s="21" t="n"/>
      <c r="K288" s="21" t="n"/>
      <c r="L288" s="21" t="n"/>
      <c r="M288" s="21" t="n"/>
      <c r="N288" s="21" t="n"/>
    </row>
    <row r="289">
      <c r="D289" s="21" t="n"/>
      <c r="E289" s="21" t="n"/>
      <c r="F289" s="21" t="n"/>
      <c r="K289" s="21" t="n"/>
      <c r="L289" s="21" t="n"/>
      <c r="M289" s="21" t="n"/>
      <c r="N289" s="21" t="n"/>
    </row>
    <row r="290">
      <c r="D290" s="21" t="n"/>
      <c r="E290" s="21" t="n"/>
      <c r="F290" s="21" t="n"/>
      <c r="K290" s="21" t="n"/>
      <c r="L290" s="21" t="n"/>
      <c r="M290" s="21" t="n"/>
      <c r="N290" s="21" t="n"/>
    </row>
    <row r="291">
      <c r="D291" s="21" t="n"/>
      <c r="E291" s="21" t="n"/>
      <c r="F291" s="21" t="n"/>
      <c r="K291" s="21" t="n"/>
      <c r="L291" s="21" t="n"/>
      <c r="M291" s="21" t="n"/>
      <c r="N291" s="21" t="n"/>
    </row>
    <row r="292">
      <c r="D292" s="21" t="n"/>
      <c r="E292" s="21" t="n"/>
      <c r="F292" s="21" t="n"/>
      <c r="K292" s="21" t="n"/>
      <c r="L292" s="21" t="n"/>
      <c r="M292" s="21" t="n"/>
      <c r="N292" s="21" t="n"/>
    </row>
    <row r="293">
      <c r="D293" s="21" t="n"/>
      <c r="E293" s="21" t="n"/>
      <c r="F293" s="21" t="n"/>
      <c r="K293" s="21" t="n"/>
      <c r="L293" s="21" t="n"/>
      <c r="M293" s="21" t="n"/>
      <c r="N293" s="21" t="n"/>
    </row>
    <row r="294">
      <c r="D294" s="21" t="n"/>
      <c r="E294" s="21" t="n"/>
      <c r="F294" s="21" t="n"/>
      <c r="K294" s="21" t="n"/>
      <c r="L294" s="21" t="n"/>
      <c r="M294" s="21" t="n"/>
      <c r="N294" s="21" t="n"/>
    </row>
    <row r="295">
      <c r="D295" s="21" t="n"/>
      <c r="E295" s="21" t="n"/>
      <c r="F295" s="21" t="n"/>
      <c r="K295" s="21" t="n"/>
      <c r="L295" s="21" t="n"/>
      <c r="M295" s="21" t="n"/>
      <c r="N295" s="21" t="n"/>
    </row>
    <row r="296">
      <c r="D296" s="21" t="n"/>
      <c r="E296" s="21" t="n"/>
      <c r="F296" s="21" t="n"/>
      <c r="K296" s="21" t="n"/>
      <c r="L296" s="21" t="n"/>
      <c r="M296" s="21" t="n"/>
      <c r="N296" s="21" t="n"/>
    </row>
    <row r="297">
      <c r="D297" s="21" t="n"/>
      <c r="E297" s="21" t="n"/>
      <c r="F297" s="21" t="n"/>
      <c r="K297" s="21" t="n"/>
      <c r="L297" s="21" t="n"/>
      <c r="M297" s="21" t="n"/>
      <c r="N297" s="21" t="n"/>
    </row>
    <row r="298">
      <c r="D298" s="21" t="n"/>
      <c r="E298" s="21" t="n"/>
      <c r="F298" s="21" t="n"/>
      <c r="K298" s="21" t="n"/>
      <c r="L298" s="21" t="n"/>
      <c r="M298" s="21" t="n"/>
      <c r="N298" s="21" t="n"/>
    </row>
    <row r="299">
      <c r="D299" s="21" t="n"/>
      <c r="E299" s="21" t="n"/>
      <c r="F299" s="21" t="n"/>
      <c r="K299" s="21" t="n"/>
      <c r="L299" s="21" t="n"/>
      <c r="M299" s="21" t="n"/>
      <c r="N299" s="21" t="n"/>
    </row>
    <row r="300">
      <c r="D300" s="21" t="n"/>
      <c r="E300" s="21" t="n"/>
      <c r="F300" s="21" t="n"/>
      <c r="K300" s="21" t="n"/>
      <c r="L300" s="21" t="n"/>
      <c r="M300" s="21" t="n"/>
      <c r="N300" s="21" t="n"/>
    </row>
    <row r="301">
      <c r="D301" s="21" t="n"/>
      <c r="E301" s="21" t="n"/>
      <c r="F301" s="21" t="n"/>
      <c r="K301" s="21" t="n"/>
      <c r="L301" s="21" t="n"/>
      <c r="M301" s="21" t="n"/>
      <c r="N301" s="21" t="n"/>
    </row>
    <row r="302">
      <c r="D302" s="21" t="n"/>
      <c r="E302" s="21" t="n"/>
      <c r="F302" s="21" t="n"/>
      <c r="K302" s="21" t="n"/>
      <c r="L302" s="21" t="n"/>
      <c r="M302" s="21" t="n"/>
      <c r="N302" s="21" t="n"/>
    </row>
    <row r="303">
      <c r="D303" s="21" t="n"/>
      <c r="E303" s="21" t="n"/>
      <c r="F303" s="21" t="n"/>
      <c r="K303" s="21" t="n"/>
      <c r="L303" s="21" t="n"/>
      <c r="M303" s="21" t="n"/>
      <c r="N303" s="21" t="n"/>
    </row>
    <row r="304">
      <c r="D304" s="21" t="n"/>
      <c r="E304" s="21" t="n"/>
      <c r="F304" s="21" t="n"/>
      <c r="K304" s="21" t="n"/>
      <c r="L304" s="21" t="n"/>
      <c r="M304" s="21" t="n"/>
      <c r="N304" s="21" t="n"/>
    </row>
    <row r="305">
      <c r="D305" s="21" t="n"/>
      <c r="E305" s="21" t="n"/>
      <c r="F305" s="21" t="n"/>
      <c r="K305" s="21" t="n"/>
      <c r="L305" s="21" t="n"/>
      <c r="M305" s="21" t="n"/>
      <c r="N305" s="21" t="n"/>
    </row>
    <row r="306">
      <c r="D306" s="21" t="n"/>
      <c r="E306" s="21" t="n"/>
      <c r="F306" s="21" t="n"/>
      <c r="K306" s="21" t="n"/>
      <c r="L306" s="21" t="n"/>
      <c r="M306" s="21" t="n"/>
      <c r="N306" s="21" t="n"/>
    </row>
    <row r="307">
      <c r="D307" s="21" t="n"/>
      <c r="E307" s="21" t="n"/>
      <c r="F307" s="21" t="n"/>
      <c r="K307" s="21" t="n"/>
      <c r="L307" s="21" t="n"/>
      <c r="M307" s="21" t="n"/>
      <c r="N307" s="21" t="n"/>
    </row>
    <row r="308">
      <c r="D308" s="21" t="n"/>
      <c r="E308" s="21" t="n"/>
      <c r="F308" s="21" t="n"/>
      <c r="K308" s="21" t="n"/>
      <c r="L308" s="21" t="n"/>
      <c r="M308" s="21" t="n"/>
      <c r="N308" s="21" t="n"/>
    </row>
    <row r="309">
      <c r="D309" s="21" t="n"/>
      <c r="E309" s="21" t="n"/>
      <c r="F309" s="21" t="n"/>
      <c r="K309" s="21" t="n"/>
      <c r="L309" s="21" t="n"/>
      <c r="M309" s="21" t="n"/>
      <c r="N309" s="21" t="n"/>
    </row>
    <row r="310">
      <c r="D310" s="21" t="n"/>
      <c r="E310" s="21" t="n"/>
      <c r="F310" s="21" t="n"/>
      <c r="K310" s="21" t="n"/>
      <c r="L310" s="21" t="n"/>
      <c r="M310" s="21" t="n"/>
      <c r="N310" s="21" t="n"/>
    </row>
    <row r="311">
      <c r="D311" s="21" t="n"/>
      <c r="E311" s="21" t="n"/>
      <c r="F311" s="21" t="n"/>
      <c r="K311" s="21" t="n"/>
      <c r="L311" s="21" t="n"/>
      <c r="M311" s="21" t="n"/>
      <c r="N311" s="21" t="n"/>
    </row>
    <row r="312">
      <c r="D312" s="21" t="n"/>
      <c r="E312" s="21" t="n"/>
      <c r="F312" s="21" t="n"/>
      <c r="K312" s="21" t="n"/>
      <c r="L312" s="21" t="n"/>
      <c r="M312" s="21" t="n"/>
      <c r="N312" s="21" t="n"/>
    </row>
    <row r="313">
      <c r="D313" s="21" t="n"/>
      <c r="E313" s="21" t="n"/>
      <c r="F313" s="21" t="n"/>
      <c r="K313" s="21" t="n"/>
      <c r="L313" s="21" t="n"/>
      <c r="M313" s="21" t="n"/>
      <c r="N313" s="21" t="n"/>
    </row>
    <row r="314">
      <c r="D314" s="21" t="n"/>
      <c r="E314" s="21" t="n"/>
      <c r="F314" s="21" t="n"/>
      <c r="K314" s="21" t="n"/>
      <c r="L314" s="21" t="n"/>
      <c r="M314" s="21" t="n"/>
      <c r="N314" s="21" t="n"/>
    </row>
    <row r="315">
      <c r="D315" s="21" t="n"/>
      <c r="E315" s="21" t="n"/>
      <c r="F315" s="21" t="n"/>
      <c r="K315" s="21" t="n"/>
      <c r="L315" s="21" t="n"/>
      <c r="M315" s="21" t="n"/>
      <c r="N315" s="21" t="n"/>
    </row>
    <row r="316">
      <c r="D316" s="21" t="n"/>
      <c r="E316" s="21" t="n"/>
      <c r="F316" s="21" t="n"/>
      <c r="K316" s="21" t="n"/>
      <c r="L316" s="21" t="n"/>
      <c r="M316" s="21" t="n"/>
      <c r="N316" s="21" t="n"/>
    </row>
    <row r="317">
      <c r="D317" s="21" t="n"/>
      <c r="E317" s="21" t="n"/>
      <c r="F317" s="21" t="n"/>
      <c r="K317" s="21" t="n"/>
      <c r="L317" s="21" t="n"/>
      <c r="M317" s="21" t="n"/>
      <c r="N317" s="21" t="n"/>
    </row>
    <row r="318">
      <c r="D318" s="21" t="n"/>
      <c r="E318" s="21" t="n"/>
      <c r="F318" s="21" t="n"/>
      <c r="K318" s="21" t="n"/>
      <c r="L318" s="21" t="n"/>
      <c r="M318" s="21" t="n"/>
      <c r="N318" s="21" t="n"/>
    </row>
    <row r="319">
      <c r="D319" s="21" t="n"/>
      <c r="E319" s="21" t="n"/>
      <c r="F319" s="21" t="n"/>
      <c r="K319" s="21" t="n"/>
      <c r="L319" s="21" t="n"/>
      <c r="M319" s="21" t="n"/>
      <c r="N319" s="21" t="n"/>
    </row>
    <row r="320">
      <c r="D320" s="21" t="n"/>
      <c r="E320" s="21" t="n"/>
      <c r="F320" s="21" t="n"/>
      <c r="K320" s="21" t="n"/>
      <c r="L320" s="21" t="n"/>
      <c r="M320" s="21" t="n"/>
      <c r="N320" s="21" t="n"/>
    </row>
    <row r="321">
      <c r="D321" s="21" t="n"/>
      <c r="E321" s="21" t="n"/>
      <c r="F321" s="21" t="n"/>
      <c r="K321" s="21" t="n"/>
      <c r="L321" s="21" t="n"/>
      <c r="M321" s="21" t="n"/>
      <c r="N321" s="21" t="n"/>
    </row>
    <row r="322">
      <c r="D322" s="21" t="n"/>
      <c r="E322" s="21" t="n"/>
      <c r="F322" s="21" t="n"/>
      <c r="K322" s="21" t="n"/>
      <c r="L322" s="21" t="n"/>
      <c r="M322" s="21" t="n"/>
      <c r="N322" s="21" t="n"/>
    </row>
    <row r="323">
      <c r="D323" s="21" t="n"/>
      <c r="E323" s="21" t="n"/>
      <c r="F323" s="21" t="n"/>
      <c r="K323" s="21" t="n"/>
      <c r="L323" s="21" t="n"/>
      <c r="M323" s="21" t="n"/>
      <c r="N323" s="21" t="n"/>
    </row>
    <row r="324">
      <c r="D324" s="21" t="n"/>
      <c r="E324" s="21" t="n"/>
      <c r="F324" s="21" t="n"/>
      <c r="K324" s="21" t="n"/>
      <c r="L324" s="21" t="n"/>
      <c r="M324" s="21" t="n"/>
      <c r="N324" s="21" t="n"/>
    </row>
    <row r="325">
      <c r="D325" s="21" t="n"/>
      <c r="E325" s="21" t="n"/>
      <c r="F325" s="21" t="n"/>
      <c r="K325" s="21" t="n"/>
      <c r="L325" s="21" t="n"/>
      <c r="M325" s="21" t="n"/>
      <c r="N325" s="21" t="n"/>
    </row>
    <row r="326">
      <c r="D326" s="21" t="n"/>
      <c r="E326" s="21" t="n"/>
      <c r="F326" s="21" t="n"/>
      <c r="K326" s="21" t="n"/>
      <c r="L326" s="21" t="n"/>
      <c r="M326" s="21" t="n"/>
      <c r="N326" s="21" t="n"/>
    </row>
    <row r="327">
      <c r="D327" s="21" t="n"/>
      <c r="E327" s="21" t="n"/>
      <c r="F327" s="21" t="n"/>
      <c r="K327" s="21" t="n"/>
      <c r="L327" s="21" t="n"/>
      <c r="M327" s="21" t="n"/>
      <c r="N327" s="21" t="n"/>
    </row>
    <row r="328">
      <c r="D328" s="21" t="n"/>
      <c r="E328" s="21" t="n"/>
      <c r="F328" s="21" t="n"/>
      <c r="K328" s="21" t="n"/>
      <c r="L328" s="21" t="n"/>
      <c r="M328" s="21" t="n"/>
      <c r="N328" s="21" t="n"/>
    </row>
    <row r="329">
      <c r="D329" s="21" t="n"/>
      <c r="E329" s="21" t="n"/>
      <c r="F329" s="21" t="n"/>
      <c r="K329" s="21" t="n"/>
      <c r="L329" s="21" t="n"/>
      <c r="M329" s="21" t="n"/>
      <c r="N329" s="21" t="n"/>
    </row>
    <row r="330">
      <c r="D330" s="21" t="n"/>
      <c r="E330" s="21" t="n"/>
      <c r="F330" s="21" t="n"/>
      <c r="K330" s="21" t="n"/>
      <c r="L330" s="21" t="n"/>
      <c r="M330" s="21" t="n"/>
      <c r="N330" s="21" t="n"/>
    </row>
    <row r="331">
      <c r="D331" s="21" t="n"/>
      <c r="E331" s="21" t="n"/>
      <c r="F331" s="21" t="n"/>
      <c r="K331" s="21" t="n"/>
      <c r="L331" s="21" t="n"/>
      <c r="M331" s="21" t="n"/>
      <c r="N331" s="21" t="n"/>
    </row>
    <row r="332">
      <c r="D332" s="21" t="n"/>
      <c r="E332" s="21" t="n"/>
      <c r="F332" s="21" t="n"/>
      <c r="K332" s="21" t="n"/>
      <c r="L332" s="21" t="n"/>
      <c r="M332" s="21" t="n"/>
      <c r="N332" s="21" t="n"/>
    </row>
    <row r="333">
      <c r="D333" s="21" t="n"/>
      <c r="E333" s="21" t="n"/>
      <c r="F333" s="21" t="n"/>
      <c r="K333" s="21" t="n"/>
      <c r="L333" s="21" t="n"/>
      <c r="M333" s="21" t="n"/>
      <c r="N333" s="21" t="n"/>
    </row>
    <row r="334">
      <c r="D334" s="21" t="n"/>
      <c r="E334" s="21" t="n"/>
      <c r="F334" s="21" t="n"/>
      <c r="K334" s="21" t="n"/>
      <c r="L334" s="21" t="n"/>
      <c r="M334" s="21" t="n"/>
      <c r="N334" s="21" t="n"/>
    </row>
    <row r="335">
      <c r="D335" s="21" t="n"/>
      <c r="E335" s="21" t="n"/>
      <c r="F335" s="21" t="n"/>
      <c r="K335" s="21" t="n"/>
      <c r="L335" s="21" t="n"/>
      <c r="M335" s="21" t="n"/>
      <c r="N335" s="21" t="n"/>
    </row>
    <row r="336">
      <c r="D336" s="21" t="n"/>
      <c r="E336" s="21" t="n"/>
      <c r="F336" s="21" t="n"/>
      <c r="K336" s="21" t="n"/>
      <c r="L336" s="21" t="n"/>
      <c r="M336" s="21" t="n"/>
      <c r="N336" s="21" t="n"/>
    </row>
    <row r="337">
      <c r="D337" s="21" t="n"/>
      <c r="E337" s="21" t="n"/>
      <c r="F337" s="21" t="n"/>
      <c r="K337" s="21" t="n"/>
      <c r="L337" s="21" t="n"/>
      <c r="M337" s="21" t="n"/>
      <c r="N337" s="21" t="n"/>
    </row>
    <row r="338">
      <c r="D338" s="21" t="n"/>
      <c r="E338" s="21" t="n"/>
      <c r="F338" s="21" t="n"/>
      <c r="K338" s="21" t="n"/>
      <c r="L338" s="21" t="n"/>
      <c r="M338" s="21" t="n"/>
      <c r="N338" s="21" t="n"/>
    </row>
    <row r="339">
      <c r="D339" s="21" t="n"/>
      <c r="E339" s="21" t="n"/>
      <c r="F339" s="21" t="n"/>
      <c r="K339" s="21" t="n"/>
      <c r="L339" s="21" t="n"/>
      <c r="M339" s="21" t="n"/>
      <c r="N339" s="21" t="n"/>
    </row>
    <row r="340">
      <c r="D340" s="21" t="n"/>
      <c r="E340" s="21" t="n"/>
      <c r="F340" s="21" t="n"/>
      <c r="K340" s="21" t="n"/>
      <c r="L340" s="21" t="n"/>
      <c r="M340" s="21" t="n"/>
      <c r="N340" s="21" t="n"/>
    </row>
    <row r="341">
      <c r="D341" s="21" t="n"/>
      <c r="E341" s="21" t="n"/>
      <c r="F341" s="21" t="n"/>
      <c r="K341" s="21" t="n"/>
      <c r="L341" s="21" t="n"/>
      <c r="M341" s="21" t="n"/>
      <c r="N341" s="21" t="n"/>
    </row>
    <row r="342">
      <c r="D342" s="21" t="n"/>
      <c r="E342" s="21" t="n"/>
      <c r="F342" s="21" t="n"/>
      <c r="K342" s="21" t="n"/>
      <c r="L342" s="21" t="n"/>
      <c r="M342" s="21" t="n"/>
      <c r="N342" s="21" t="n"/>
    </row>
    <row r="343">
      <c r="D343" s="21" t="n"/>
      <c r="E343" s="21" t="n"/>
      <c r="F343" s="21" t="n"/>
      <c r="K343" s="21" t="n"/>
      <c r="L343" s="21" t="n"/>
      <c r="M343" s="21" t="n"/>
      <c r="N343" s="21" t="n"/>
    </row>
    <row r="344">
      <c r="D344" s="21" t="n"/>
      <c r="E344" s="21" t="n"/>
      <c r="F344" s="21" t="n"/>
      <c r="K344" s="21" t="n"/>
      <c r="L344" s="21" t="n"/>
      <c r="M344" s="21" t="n"/>
      <c r="N344" s="21" t="n"/>
    </row>
    <row r="345">
      <c r="D345" s="21" t="n"/>
      <c r="E345" s="21" t="n"/>
      <c r="F345" s="21" t="n"/>
      <c r="K345" s="21" t="n"/>
      <c r="L345" s="21" t="n"/>
      <c r="M345" s="21" t="n"/>
      <c r="N345" s="21" t="n"/>
    </row>
    <row r="346">
      <c r="D346" s="21" t="n"/>
      <c r="E346" s="21" t="n"/>
      <c r="F346" s="21" t="n"/>
      <c r="K346" s="21" t="n"/>
      <c r="L346" s="21" t="n"/>
      <c r="M346" s="21" t="n"/>
      <c r="N346" s="21" t="n"/>
    </row>
    <row r="347">
      <c r="D347" s="21" t="n"/>
      <c r="E347" s="21" t="n"/>
      <c r="F347" s="21" t="n"/>
      <c r="K347" s="21" t="n"/>
      <c r="L347" s="21" t="n"/>
      <c r="M347" s="21" t="n"/>
      <c r="N347" s="21" t="n"/>
    </row>
    <row r="348">
      <c r="D348" s="21" t="n"/>
      <c r="E348" s="21" t="n"/>
      <c r="F348" s="21" t="n"/>
      <c r="K348" s="21" t="n"/>
      <c r="L348" s="21" t="n"/>
      <c r="M348" s="21" t="n"/>
      <c r="N348" s="21" t="n"/>
    </row>
    <row r="349">
      <c r="D349" s="21" t="n"/>
      <c r="E349" s="21" t="n"/>
      <c r="F349" s="21" t="n"/>
      <c r="K349" s="21" t="n"/>
      <c r="L349" s="21" t="n"/>
      <c r="M349" s="21" t="n"/>
      <c r="N349" s="21" t="n"/>
    </row>
    <row r="350">
      <c r="D350" s="21" t="n"/>
      <c r="E350" s="21" t="n"/>
      <c r="F350" s="21" t="n"/>
      <c r="K350" s="21" t="n"/>
      <c r="L350" s="21" t="n"/>
      <c r="M350" s="21" t="n"/>
      <c r="N350" s="21" t="n"/>
    </row>
    <row r="351">
      <c r="D351" s="21" t="n"/>
      <c r="E351" s="21" t="n"/>
      <c r="F351" s="21" t="n"/>
      <c r="K351" s="21" t="n"/>
      <c r="L351" s="21" t="n"/>
      <c r="M351" s="21" t="n"/>
      <c r="N351" s="21" t="n"/>
    </row>
    <row r="352">
      <c r="D352" s="21" t="n"/>
      <c r="E352" s="21" t="n"/>
      <c r="F352" s="21" t="n"/>
      <c r="K352" s="21" t="n"/>
      <c r="L352" s="21" t="n"/>
      <c r="M352" s="21" t="n"/>
      <c r="N352" s="21" t="n"/>
    </row>
    <row r="353">
      <c r="D353" s="21" t="n"/>
      <c r="E353" s="21" t="n"/>
      <c r="F353" s="21" t="n"/>
      <c r="K353" s="21" t="n"/>
      <c r="L353" s="21" t="n"/>
      <c r="M353" s="21" t="n"/>
      <c r="N353" s="21" t="n"/>
    </row>
    <row r="354">
      <c r="D354" s="21" t="n"/>
      <c r="E354" s="21" t="n"/>
      <c r="F354" s="21" t="n"/>
      <c r="K354" s="21" t="n"/>
      <c r="L354" s="21" t="n"/>
      <c r="M354" s="21" t="n"/>
      <c r="N354" s="21" t="n"/>
    </row>
    <row r="355">
      <c r="D355" s="21" t="n"/>
      <c r="E355" s="21" t="n"/>
      <c r="F355" s="21" t="n"/>
      <c r="K355" s="21" t="n"/>
      <c r="L355" s="21" t="n"/>
      <c r="M355" s="21" t="n"/>
      <c r="N355" s="21" t="n"/>
    </row>
    <row r="356">
      <c r="D356" s="21" t="n"/>
      <c r="E356" s="21" t="n"/>
      <c r="F356" s="21" t="n"/>
      <c r="K356" s="21" t="n"/>
      <c r="L356" s="21" t="n"/>
      <c r="M356" s="21" t="n"/>
      <c r="N356" s="21" t="n"/>
    </row>
    <row r="357">
      <c r="D357" s="21" t="n"/>
      <c r="E357" s="21" t="n"/>
      <c r="F357" s="21" t="n"/>
      <c r="K357" s="21" t="n"/>
      <c r="L357" s="21" t="n"/>
      <c r="M357" s="21" t="n"/>
      <c r="N357" s="21" t="n"/>
    </row>
    <row r="358">
      <c r="D358" s="21" t="n"/>
      <c r="E358" s="21" t="n"/>
      <c r="F358" s="21" t="n"/>
      <c r="K358" s="21" t="n"/>
      <c r="L358" s="21" t="n"/>
      <c r="M358" s="21" t="n"/>
      <c r="N358" s="21" t="n"/>
    </row>
    <row r="359">
      <c r="D359" s="21" t="n"/>
      <c r="E359" s="21" t="n"/>
      <c r="F359" s="21" t="n"/>
      <c r="K359" s="21" t="n"/>
      <c r="L359" s="21" t="n"/>
      <c r="M359" s="21" t="n"/>
      <c r="N359" s="21" t="n"/>
    </row>
    <row r="360">
      <c r="D360" s="21" t="n"/>
      <c r="E360" s="21" t="n"/>
      <c r="F360" s="21" t="n"/>
      <c r="K360" s="21" t="n"/>
      <c r="L360" s="21" t="n"/>
      <c r="M360" s="21" t="n"/>
      <c r="N360" s="21" t="n"/>
    </row>
    <row r="361">
      <c r="D361" s="21" t="n"/>
      <c r="E361" s="21" t="n"/>
      <c r="F361" s="21" t="n"/>
      <c r="K361" s="21" t="n"/>
      <c r="L361" s="21" t="n"/>
      <c r="M361" s="21" t="n"/>
      <c r="N361" s="21" t="n"/>
    </row>
    <row r="362">
      <c r="D362" s="21" t="n"/>
      <c r="E362" s="21" t="n"/>
      <c r="F362" s="21" t="n"/>
      <c r="K362" s="21" t="n"/>
      <c r="L362" s="21" t="n"/>
      <c r="M362" s="21" t="n"/>
      <c r="N362" s="21" t="n"/>
    </row>
    <row r="363">
      <c r="D363" s="21" t="n"/>
      <c r="E363" s="21" t="n"/>
      <c r="F363" s="21" t="n"/>
      <c r="K363" s="21" t="n"/>
      <c r="L363" s="21" t="n"/>
      <c r="M363" s="21" t="n"/>
      <c r="N363" s="21" t="n"/>
    </row>
    <row r="364">
      <c r="D364" s="21" t="n"/>
      <c r="E364" s="21" t="n"/>
      <c r="F364" s="21" t="n"/>
      <c r="K364" s="21" t="n"/>
      <c r="L364" s="21" t="n"/>
      <c r="M364" s="21" t="n"/>
      <c r="N364" s="21" t="n"/>
    </row>
    <row r="365">
      <c r="D365" s="21" t="n"/>
      <c r="E365" s="21" t="n"/>
      <c r="F365" s="21" t="n"/>
      <c r="K365" s="21" t="n"/>
      <c r="L365" s="21" t="n"/>
      <c r="M365" s="21" t="n"/>
      <c r="N365" s="21" t="n"/>
    </row>
    <row r="366">
      <c r="D366" s="21" t="n"/>
      <c r="E366" s="21" t="n"/>
      <c r="F366" s="21" t="n"/>
      <c r="K366" s="21" t="n"/>
      <c r="L366" s="21" t="n"/>
      <c r="M366" s="21" t="n"/>
      <c r="N366" s="21" t="n"/>
    </row>
    <row r="367">
      <c r="D367" s="21" t="n"/>
      <c r="E367" s="21" t="n"/>
      <c r="F367" s="21" t="n"/>
      <c r="K367" s="21" t="n"/>
      <c r="L367" s="21" t="n"/>
      <c r="M367" s="21" t="n"/>
      <c r="N367" s="21" t="n"/>
    </row>
    <row r="368">
      <c r="D368" s="21" t="n"/>
      <c r="E368" s="21" t="n"/>
      <c r="F368" s="21" t="n"/>
      <c r="K368" s="21" t="n"/>
      <c r="L368" s="21" t="n"/>
      <c r="M368" s="21" t="n"/>
      <c r="N368" s="21" t="n"/>
    </row>
    <row r="369">
      <c r="D369" s="21" t="n"/>
      <c r="E369" s="21" t="n"/>
      <c r="F369" s="21" t="n"/>
      <c r="K369" s="21" t="n"/>
      <c r="L369" s="21" t="n"/>
      <c r="M369" s="21" t="n"/>
      <c r="N369" s="21" t="n"/>
    </row>
    <row r="370">
      <c r="D370" s="21" t="n"/>
      <c r="E370" s="21" t="n"/>
      <c r="F370" s="21" t="n"/>
      <c r="K370" s="21" t="n"/>
      <c r="L370" s="21" t="n"/>
      <c r="M370" s="21" t="n"/>
      <c r="N370" s="21" t="n"/>
    </row>
    <row r="371">
      <c r="D371" s="21" t="n"/>
      <c r="E371" s="21" t="n"/>
      <c r="F371" s="21" t="n"/>
      <c r="K371" s="21" t="n"/>
      <c r="L371" s="21" t="n"/>
      <c r="M371" s="21" t="n"/>
      <c r="N371" s="21" t="n"/>
    </row>
    <row r="372">
      <c r="D372" s="21" t="n"/>
      <c r="E372" s="21" t="n"/>
      <c r="F372" s="21" t="n"/>
      <c r="K372" s="21" t="n"/>
      <c r="L372" s="21" t="n"/>
      <c r="M372" s="21" t="n"/>
      <c r="N372" s="21" t="n"/>
    </row>
    <row r="373">
      <c r="D373" s="21" t="n"/>
      <c r="E373" s="21" t="n"/>
      <c r="F373" s="21" t="n"/>
      <c r="K373" s="21" t="n"/>
      <c r="L373" s="21" t="n"/>
      <c r="M373" s="21" t="n"/>
      <c r="N373" s="21" t="n"/>
    </row>
    <row r="374">
      <c r="D374" s="21" t="n"/>
      <c r="E374" s="21" t="n"/>
      <c r="F374" s="21" t="n"/>
      <c r="K374" s="21" t="n"/>
      <c r="L374" s="21" t="n"/>
      <c r="M374" s="21" t="n"/>
      <c r="N374" s="21" t="n"/>
    </row>
    <row r="375">
      <c r="D375" s="21" t="n"/>
      <c r="E375" s="21" t="n"/>
      <c r="F375" s="21" t="n"/>
      <c r="K375" s="21" t="n"/>
      <c r="L375" s="21" t="n"/>
      <c r="M375" s="21" t="n"/>
      <c r="N375" s="21" t="n"/>
    </row>
    <row r="376">
      <c r="D376" s="21" t="n"/>
      <c r="E376" s="21" t="n"/>
      <c r="F376" s="21" t="n"/>
      <c r="K376" s="21" t="n"/>
      <c r="L376" s="21" t="n"/>
      <c r="M376" s="21" t="n"/>
      <c r="N376" s="21" t="n"/>
    </row>
    <row r="377">
      <c r="D377" s="21" t="n"/>
      <c r="E377" s="21" t="n"/>
      <c r="F377" s="21" t="n"/>
      <c r="K377" s="21" t="n"/>
      <c r="L377" s="21" t="n"/>
      <c r="M377" s="21" t="n"/>
      <c r="N377" s="21" t="n"/>
    </row>
    <row r="378">
      <c r="D378" s="21" t="n"/>
      <c r="E378" s="21" t="n"/>
      <c r="F378" s="21" t="n"/>
      <c r="K378" s="21" t="n"/>
      <c r="L378" s="21" t="n"/>
      <c r="M378" s="21" t="n"/>
      <c r="N378" s="21" t="n"/>
    </row>
    <row r="379">
      <c r="D379" s="21" t="n"/>
      <c r="E379" s="21" t="n"/>
      <c r="F379" s="21" t="n"/>
      <c r="K379" s="21" t="n"/>
      <c r="L379" s="21" t="n"/>
      <c r="M379" s="21" t="n"/>
      <c r="N379" s="21" t="n"/>
    </row>
    <row r="380">
      <c r="D380" s="21" t="n"/>
      <c r="E380" s="21" t="n"/>
      <c r="F380" s="21" t="n"/>
      <c r="K380" s="21" t="n"/>
      <c r="L380" s="21" t="n"/>
      <c r="M380" s="21" t="n"/>
      <c r="N380" s="21" t="n"/>
    </row>
    <row r="381">
      <c r="D381" s="21" t="n"/>
      <c r="E381" s="21" t="n"/>
      <c r="F381" s="21" t="n"/>
      <c r="K381" s="21" t="n"/>
      <c r="L381" s="21" t="n"/>
      <c r="M381" s="21" t="n"/>
      <c r="N381" s="21" t="n"/>
    </row>
    <row r="382">
      <c r="D382" s="21" t="n"/>
      <c r="E382" s="21" t="n"/>
      <c r="F382" s="21" t="n"/>
      <c r="K382" s="21" t="n"/>
      <c r="L382" s="21" t="n"/>
      <c r="M382" s="21" t="n"/>
      <c r="N382" s="21" t="n"/>
    </row>
    <row r="383">
      <c r="D383" s="21" t="n"/>
      <c r="E383" s="21" t="n"/>
      <c r="F383" s="21" t="n"/>
      <c r="K383" s="21" t="n"/>
      <c r="L383" s="21" t="n"/>
      <c r="M383" s="21" t="n"/>
      <c r="N383" s="21" t="n"/>
    </row>
    <row r="384">
      <c r="D384" s="21" t="n"/>
      <c r="E384" s="21" t="n"/>
      <c r="F384" s="21" t="n"/>
      <c r="K384" s="21" t="n"/>
      <c r="L384" s="21" t="n"/>
      <c r="M384" s="21" t="n"/>
      <c r="N384" s="21" t="n"/>
    </row>
    <row r="385">
      <c r="D385" s="21" t="n"/>
      <c r="E385" s="21" t="n"/>
      <c r="F385" s="21" t="n"/>
      <c r="K385" s="21" t="n"/>
      <c r="L385" s="21" t="n"/>
      <c r="M385" s="21" t="n"/>
      <c r="N385" s="21" t="n"/>
    </row>
    <row r="386">
      <c r="D386" s="21" t="n"/>
      <c r="E386" s="21" t="n"/>
      <c r="F386" s="21" t="n"/>
      <c r="K386" s="21" t="n"/>
      <c r="L386" s="21" t="n"/>
      <c r="M386" s="21" t="n"/>
      <c r="N386" s="21" t="n"/>
    </row>
    <row r="387">
      <c r="D387" s="21" t="n"/>
      <c r="E387" s="21" t="n"/>
      <c r="F387" s="21" t="n"/>
      <c r="K387" s="21" t="n"/>
      <c r="L387" s="21" t="n"/>
      <c r="M387" s="21" t="n"/>
      <c r="N387" s="21" t="n"/>
    </row>
    <row r="388">
      <c r="D388" s="21" t="n"/>
      <c r="E388" s="21" t="n"/>
      <c r="F388" s="21" t="n"/>
      <c r="K388" s="21" t="n"/>
      <c r="L388" s="21" t="n"/>
      <c r="M388" s="21" t="n"/>
      <c r="N388" s="21" t="n"/>
    </row>
    <row r="389">
      <c r="D389" s="21" t="n"/>
      <c r="E389" s="21" t="n"/>
      <c r="F389" s="21" t="n"/>
      <c r="K389" s="21" t="n"/>
      <c r="L389" s="21" t="n"/>
      <c r="M389" s="21" t="n"/>
      <c r="N389" s="21" t="n"/>
    </row>
    <row r="390">
      <c r="D390" s="21" t="n"/>
      <c r="E390" s="21" t="n"/>
      <c r="F390" s="21" t="n"/>
      <c r="K390" s="21" t="n"/>
      <c r="L390" s="21" t="n"/>
      <c r="M390" s="21" t="n"/>
      <c r="N390" s="21" t="n"/>
    </row>
    <row r="391">
      <c r="D391" s="21" t="n"/>
      <c r="E391" s="21" t="n"/>
      <c r="F391" s="21" t="n"/>
      <c r="K391" s="21" t="n"/>
      <c r="L391" s="21" t="n"/>
      <c r="M391" s="21" t="n"/>
      <c r="N391" s="21" t="n"/>
    </row>
    <row r="392">
      <c r="D392" s="21" t="n"/>
      <c r="E392" s="21" t="n"/>
      <c r="F392" s="21" t="n"/>
      <c r="K392" s="21" t="n"/>
      <c r="L392" s="21" t="n"/>
      <c r="M392" s="21" t="n"/>
      <c r="N392" s="21" t="n"/>
    </row>
    <row r="393">
      <c r="D393" s="21" t="n"/>
      <c r="E393" s="21" t="n"/>
      <c r="F393" s="21" t="n"/>
      <c r="K393" s="21" t="n"/>
      <c r="L393" s="21" t="n"/>
      <c r="M393" s="21" t="n"/>
      <c r="N393" s="21" t="n"/>
    </row>
    <row r="394">
      <c r="D394" s="21" t="n"/>
      <c r="E394" s="21" t="n"/>
      <c r="F394" s="21" t="n"/>
      <c r="K394" s="21" t="n"/>
      <c r="L394" s="21" t="n"/>
      <c r="M394" s="21" t="n"/>
      <c r="N394" s="21" t="n"/>
    </row>
    <row r="395">
      <c r="D395" s="21" t="n"/>
      <c r="E395" s="21" t="n"/>
      <c r="F395" s="21" t="n"/>
      <c r="K395" s="21" t="n"/>
      <c r="L395" s="21" t="n"/>
      <c r="M395" s="21" t="n"/>
      <c r="N395" s="21" t="n"/>
    </row>
    <row r="396">
      <c r="D396" s="21" t="n"/>
      <c r="E396" s="21" t="n"/>
      <c r="F396" s="21" t="n"/>
      <c r="K396" s="21" t="n"/>
      <c r="L396" s="21" t="n"/>
      <c r="M396" s="21" t="n"/>
      <c r="N396" s="21" t="n"/>
    </row>
    <row r="397">
      <c r="D397" s="21" t="n"/>
      <c r="E397" s="21" t="n"/>
      <c r="F397" s="21" t="n"/>
      <c r="K397" s="21" t="n"/>
      <c r="L397" s="21" t="n"/>
      <c r="M397" s="21" t="n"/>
      <c r="N397" s="21" t="n"/>
    </row>
    <row r="398">
      <c r="D398" s="21" t="n"/>
      <c r="E398" s="21" t="n"/>
      <c r="F398" s="21" t="n"/>
      <c r="K398" s="21" t="n"/>
      <c r="L398" s="21" t="n"/>
      <c r="M398" s="21" t="n"/>
      <c r="N398" s="21" t="n"/>
    </row>
    <row r="399">
      <c r="D399" s="21" t="n"/>
      <c r="E399" s="21" t="n"/>
      <c r="F399" s="21" t="n"/>
      <c r="K399" s="21" t="n"/>
      <c r="L399" s="21" t="n"/>
      <c r="M399" s="21" t="n"/>
      <c r="N399" s="21" t="n"/>
    </row>
    <row r="400">
      <c r="D400" s="21" t="n"/>
      <c r="E400" s="21" t="n"/>
      <c r="F400" s="21" t="n"/>
      <c r="K400" s="21" t="n"/>
      <c r="L400" s="21" t="n"/>
      <c r="M400" s="21" t="n"/>
      <c r="N400" s="21" t="n"/>
    </row>
    <row r="401">
      <c r="D401" s="21" t="n"/>
      <c r="E401" s="21" t="n"/>
      <c r="F401" s="21" t="n"/>
      <c r="K401" s="21" t="n"/>
      <c r="L401" s="21" t="n"/>
      <c r="M401" s="21" t="n"/>
      <c r="N401" s="21" t="n"/>
    </row>
    <row r="402">
      <c r="D402" s="21" t="n"/>
      <c r="E402" s="21" t="n"/>
      <c r="F402" s="21" t="n"/>
      <c r="K402" s="21" t="n"/>
      <c r="L402" s="21" t="n"/>
      <c r="M402" s="21" t="n"/>
      <c r="N402" s="21" t="n"/>
    </row>
    <row r="403">
      <c r="D403" s="21" t="n"/>
      <c r="E403" s="21" t="n"/>
      <c r="F403" s="21" t="n"/>
      <c r="K403" s="21" t="n"/>
      <c r="L403" s="21" t="n"/>
      <c r="M403" s="21" t="n"/>
      <c r="N403" s="21" t="n"/>
    </row>
    <row r="404">
      <c r="D404" s="21" t="n"/>
      <c r="E404" s="21" t="n"/>
      <c r="F404" s="21" t="n"/>
      <c r="K404" s="21" t="n"/>
      <c r="L404" s="21" t="n"/>
      <c r="M404" s="21" t="n"/>
      <c r="N404" s="21" t="n"/>
    </row>
    <row r="405">
      <c r="D405" s="21" t="n"/>
      <c r="E405" s="21" t="n"/>
      <c r="F405" s="21" t="n"/>
      <c r="K405" s="21" t="n"/>
      <c r="L405" s="21" t="n"/>
      <c r="M405" s="21" t="n"/>
      <c r="N405" s="21" t="n"/>
    </row>
    <row r="406">
      <c r="D406" s="21" t="n"/>
      <c r="E406" s="21" t="n"/>
      <c r="F406" s="21" t="n"/>
      <c r="K406" s="21" t="n"/>
      <c r="L406" s="21" t="n"/>
      <c r="M406" s="21" t="n"/>
      <c r="N406" s="21" t="n"/>
    </row>
    <row r="407">
      <c r="D407" s="21" t="n"/>
      <c r="E407" s="21" t="n"/>
      <c r="F407" s="21" t="n"/>
      <c r="K407" s="21" t="n"/>
      <c r="L407" s="21" t="n"/>
      <c r="M407" s="21" t="n"/>
      <c r="N407" s="21" t="n"/>
    </row>
    <row r="408">
      <c r="D408" s="21" t="n"/>
      <c r="E408" s="21" t="n"/>
      <c r="F408" s="21" t="n"/>
      <c r="K408" s="21" t="n"/>
      <c r="L408" s="21" t="n"/>
      <c r="M408" s="21" t="n"/>
      <c r="N408" s="21" t="n"/>
    </row>
    <row r="409">
      <c r="D409" s="21" t="n"/>
      <c r="E409" s="21" t="n"/>
      <c r="F409" s="21" t="n"/>
      <c r="K409" s="21" t="n"/>
      <c r="L409" s="21" t="n"/>
      <c r="M409" s="21" t="n"/>
      <c r="N409" s="21" t="n"/>
    </row>
    <row r="410">
      <c r="D410" s="21" t="n"/>
      <c r="E410" s="21" t="n"/>
      <c r="F410" s="21" t="n"/>
      <c r="K410" s="21" t="n"/>
      <c r="L410" s="21" t="n"/>
      <c r="M410" s="21" t="n"/>
      <c r="N410" s="21" t="n"/>
    </row>
    <row r="411">
      <c r="D411" s="21" t="n"/>
      <c r="E411" s="21" t="n"/>
      <c r="F411" s="21" t="n"/>
      <c r="K411" s="21" t="n"/>
      <c r="L411" s="21" t="n"/>
      <c r="M411" s="21" t="n"/>
      <c r="N411" s="21" t="n"/>
    </row>
    <row r="412">
      <c r="D412" s="21" t="n"/>
      <c r="E412" s="21" t="n"/>
      <c r="F412" s="21" t="n"/>
      <c r="K412" s="21" t="n"/>
      <c r="L412" s="21" t="n"/>
      <c r="M412" s="21" t="n"/>
      <c r="N412" s="21" t="n"/>
    </row>
    <row r="413">
      <c r="D413" s="21" t="n"/>
      <c r="E413" s="21" t="n"/>
      <c r="F413" s="21" t="n"/>
      <c r="K413" s="21" t="n"/>
      <c r="L413" s="21" t="n"/>
      <c r="M413" s="21" t="n"/>
      <c r="N413" s="21" t="n"/>
    </row>
    <row r="414">
      <c r="D414" s="21" t="n"/>
      <c r="E414" s="21" t="n"/>
      <c r="F414" s="21" t="n"/>
      <c r="K414" s="21" t="n"/>
      <c r="L414" s="21" t="n"/>
      <c r="M414" s="21" t="n"/>
      <c r="N414" s="21" t="n"/>
    </row>
    <row r="415">
      <c r="D415" s="21" t="n"/>
      <c r="E415" s="21" t="n"/>
      <c r="F415" s="21" t="n"/>
      <c r="K415" s="21" t="n"/>
      <c r="L415" s="21" t="n"/>
      <c r="M415" s="21" t="n"/>
      <c r="N415" s="21" t="n"/>
    </row>
    <row r="416">
      <c r="D416" s="21" t="n"/>
      <c r="E416" s="21" t="n"/>
      <c r="F416" s="21" t="n"/>
      <c r="K416" s="21" t="n"/>
      <c r="L416" s="21" t="n"/>
      <c r="M416" s="21" t="n"/>
      <c r="N416" s="21" t="n"/>
    </row>
    <row r="417">
      <c r="D417" s="21" t="n"/>
      <c r="E417" s="21" t="n"/>
      <c r="F417" s="21" t="n"/>
      <c r="K417" s="21" t="n"/>
      <c r="L417" s="21" t="n"/>
      <c r="M417" s="21" t="n"/>
      <c r="N417" s="21" t="n"/>
    </row>
    <row r="418">
      <c r="D418" s="21" t="n"/>
      <c r="E418" s="21" t="n"/>
      <c r="F418" s="21" t="n"/>
      <c r="K418" s="21" t="n"/>
      <c r="L418" s="21" t="n"/>
      <c r="M418" s="21" t="n"/>
      <c r="N418" s="21" t="n"/>
    </row>
    <row r="419">
      <c r="D419" s="21" t="n"/>
      <c r="E419" s="21" t="n"/>
      <c r="F419" s="21" t="n"/>
      <c r="K419" s="21" t="n"/>
      <c r="L419" s="21" t="n"/>
      <c r="M419" s="21" t="n"/>
      <c r="N419" s="21" t="n"/>
    </row>
    <row r="420">
      <c r="D420" s="21" t="n"/>
      <c r="E420" s="21" t="n"/>
      <c r="F420" s="21" t="n"/>
      <c r="K420" s="21" t="n"/>
      <c r="L420" s="21" t="n"/>
      <c r="M420" s="21" t="n"/>
      <c r="N420" s="21" t="n"/>
    </row>
    <row r="421">
      <c r="D421" s="21" t="n"/>
      <c r="E421" s="21" t="n"/>
      <c r="F421" s="21" t="n"/>
      <c r="K421" s="21" t="n"/>
      <c r="L421" s="21" t="n"/>
      <c r="M421" s="21" t="n"/>
      <c r="N421" s="21" t="n"/>
    </row>
    <row r="422">
      <c r="D422" s="21" t="n"/>
      <c r="E422" s="21" t="n"/>
      <c r="F422" s="21" t="n"/>
      <c r="K422" s="21" t="n"/>
      <c r="L422" s="21" t="n"/>
      <c r="M422" s="21" t="n"/>
      <c r="N422" s="21" t="n"/>
    </row>
    <row r="423">
      <c r="D423" s="21" t="n"/>
      <c r="E423" s="21" t="n"/>
      <c r="F423" s="21" t="n"/>
      <c r="K423" s="21" t="n"/>
      <c r="L423" s="21" t="n"/>
      <c r="M423" s="21" t="n"/>
      <c r="N423" s="21" t="n"/>
    </row>
    <row r="424">
      <c r="D424" s="21" t="n"/>
      <c r="E424" s="21" t="n"/>
      <c r="F424" s="21" t="n"/>
      <c r="K424" s="21" t="n"/>
      <c r="L424" s="21" t="n"/>
      <c r="M424" s="21" t="n"/>
      <c r="N424" s="21" t="n"/>
    </row>
    <row r="425">
      <c r="D425" s="21" t="n"/>
      <c r="E425" s="21" t="n"/>
      <c r="F425" s="21" t="n"/>
      <c r="K425" s="21" t="n"/>
      <c r="L425" s="21" t="n"/>
      <c r="M425" s="21" t="n"/>
      <c r="N425" s="21" t="n"/>
    </row>
    <row r="426">
      <c r="D426" s="21" t="n"/>
      <c r="E426" s="21" t="n"/>
      <c r="F426" s="21" t="n"/>
      <c r="K426" s="21" t="n"/>
      <c r="L426" s="21" t="n"/>
      <c r="M426" s="21" t="n"/>
      <c r="N426" s="21" t="n"/>
    </row>
    <row r="427">
      <c r="D427" s="21" t="n"/>
      <c r="E427" s="21" t="n"/>
      <c r="F427" s="21" t="n"/>
      <c r="K427" s="21" t="n"/>
      <c r="L427" s="21" t="n"/>
      <c r="M427" s="21" t="n"/>
      <c r="N427" s="21" t="n"/>
    </row>
    <row r="428">
      <c r="D428" s="21" t="n"/>
      <c r="E428" s="21" t="n"/>
      <c r="F428" s="21" t="n"/>
      <c r="K428" s="21" t="n"/>
      <c r="L428" s="21" t="n"/>
      <c r="M428" s="21" t="n"/>
      <c r="N428" s="21" t="n"/>
    </row>
    <row r="429">
      <c r="D429" s="21" t="n"/>
      <c r="E429" s="21" t="n"/>
      <c r="F429" s="21" t="n"/>
      <c r="K429" s="21" t="n"/>
      <c r="L429" s="21" t="n"/>
      <c r="M429" s="21" t="n"/>
      <c r="N429" s="21" t="n"/>
    </row>
    <row r="430">
      <c r="D430" s="21" t="n"/>
      <c r="E430" s="21" t="n"/>
      <c r="F430" s="21" t="n"/>
      <c r="K430" s="21" t="n"/>
      <c r="L430" s="21" t="n"/>
      <c r="M430" s="21" t="n"/>
      <c r="N430" s="21" t="n"/>
    </row>
    <row r="431">
      <c r="D431" s="21" t="n"/>
      <c r="E431" s="21" t="n"/>
      <c r="F431" s="21" t="n"/>
      <c r="K431" s="21" t="n"/>
      <c r="L431" s="21" t="n"/>
      <c r="M431" s="21" t="n"/>
      <c r="N431" s="21" t="n"/>
    </row>
    <row r="432">
      <c r="D432" s="21" t="n"/>
      <c r="E432" s="21" t="n"/>
      <c r="F432" s="21" t="n"/>
      <c r="K432" s="21" t="n"/>
      <c r="L432" s="21" t="n"/>
      <c r="M432" s="21" t="n"/>
      <c r="N432" s="21" t="n"/>
    </row>
    <row r="433">
      <c r="D433" s="21" t="n"/>
      <c r="E433" s="21" t="n"/>
      <c r="F433" s="21" t="n"/>
      <c r="K433" s="21" t="n"/>
      <c r="L433" s="21" t="n"/>
      <c r="M433" s="21" t="n"/>
      <c r="N433" s="21" t="n"/>
    </row>
    <row r="434">
      <c r="D434" s="21" t="n"/>
      <c r="E434" s="21" t="n"/>
      <c r="F434" s="21" t="n"/>
      <c r="K434" s="21" t="n"/>
      <c r="L434" s="21" t="n"/>
      <c r="M434" s="21" t="n"/>
      <c r="N434" s="21" t="n"/>
    </row>
    <row r="435">
      <c r="D435" s="21" t="n"/>
      <c r="E435" s="21" t="n"/>
      <c r="F435" s="21" t="n"/>
      <c r="K435" s="21" t="n"/>
      <c r="L435" s="21" t="n"/>
      <c r="M435" s="21" t="n"/>
      <c r="N435" s="21" t="n"/>
    </row>
    <row r="436">
      <c r="D436" s="21" t="n"/>
      <c r="E436" s="21" t="n"/>
      <c r="F436" s="21" t="n"/>
      <c r="K436" s="21" t="n"/>
      <c r="L436" s="21" t="n"/>
      <c r="M436" s="21" t="n"/>
      <c r="N436" s="21" t="n"/>
    </row>
    <row r="437">
      <c r="D437" s="21" t="n"/>
      <c r="E437" s="21" t="n"/>
      <c r="F437" s="21" t="n"/>
      <c r="K437" s="21" t="n"/>
      <c r="L437" s="21" t="n"/>
      <c r="M437" s="21" t="n"/>
      <c r="N437" s="21" t="n"/>
    </row>
    <row r="438">
      <c r="D438" s="21" t="n"/>
      <c r="E438" s="21" t="n"/>
      <c r="F438" s="21" t="n"/>
      <c r="K438" s="21" t="n"/>
      <c r="L438" s="21" t="n"/>
      <c r="M438" s="21" t="n"/>
      <c r="N438" s="21" t="n"/>
    </row>
    <row r="439">
      <c r="D439" s="21" t="n"/>
      <c r="E439" s="21" t="n"/>
      <c r="F439" s="21" t="n"/>
      <c r="K439" s="21" t="n"/>
      <c r="L439" s="21" t="n"/>
      <c r="M439" s="21" t="n"/>
      <c r="N439" s="21" t="n"/>
    </row>
    <row r="440">
      <c r="D440" s="21" t="n"/>
      <c r="E440" s="21" t="n"/>
      <c r="F440" s="21" t="n"/>
      <c r="K440" s="21" t="n"/>
      <c r="L440" s="21" t="n"/>
      <c r="M440" s="21" t="n"/>
      <c r="N440" s="21" t="n"/>
    </row>
    <row r="441">
      <c r="D441" s="21" t="n"/>
      <c r="E441" s="21" t="n"/>
      <c r="F441" s="21" t="n"/>
      <c r="K441" s="21" t="n"/>
      <c r="L441" s="21" t="n"/>
      <c r="M441" s="21" t="n"/>
      <c r="N441" s="21" t="n"/>
    </row>
    <row r="442">
      <c r="D442" s="21" t="n"/>
      <c r="E442" s="21" t="n"/>
      <c r="F442" s="21" t="n"/>
      <c r="K442" s="21" t="n"/>
      <c r="L442" s="21" t="n"/>
      <c r="M442" s="21" t="n"/>
      <c r="N442" s="21" t="n"/>
    </row>
    <row r="443">
      <c r="D443" s="21" t="n"/>
      <c r="E443" s="21" t="n"/>
      <c r="F443" s="21" t="n"/>
      <c r="K443" s="21" t="n"/>
      <c r="L443" s="21" t="n"/>
      <c r="M443" s="21" t="n"/>
      <c r="N443" s="21" t="n"/>
    </row>
    <row r="444">
      <c r="D444" s="21" t="n"/>
      <c r="E444" s="21" t="n"/>
      <c r="F444" s="21" t="n"/>
      <c r="K444" s="21" t="n"/>
      <c r="L444" s="21" t="n"/>
      <c r="M444" s="21" t="n"/>
      <c r="N444" s="21" t="n"/>
    </row>
    <row r="445">
      <c r="D445" s="21" t="n"/>
      <c r="E445" s="21" t="n"/>
      <c r="F445" s="21" t="n"/>
      <c r="K445" s="21" t="n"/>
      <c r="L445" s="21" t="n"/>
      <c r="M445" s="21" t="n"/>
      <c r="N445" s="21" t="n"/>
    </row>
    <row r="446">
      <c r="D446" s="21" t="n"/>
      <c r="E446" s="21" t="n"/>
      <c r="F446" s="21" t="n"/>
      <c r="K446" s="21" t="n"/>
      <c r="L446" s="21" t="n"/>
      <c r="M446" s="21" t="n"/>
      <c r="N446" s="21" t="n"/>
    </row>
    <row r="447">
      <c r="D447" s="21" t="n"/>
      <c r="E447" s="21" t="n"/>
      <c r="F447" s="21" t="n"/>
      <c r="K447" s="21" t="n"/>
      <c r="L447" s="21" t="n"/>
      <c r="M447" s="21" t="n"/>
      <c r="N447" s="21" t="n"/>
    </row>
    <row r="448">
      <c r="D448" s="21" t="n"/>
      <c r="E448" s="21" t="n"/>
      <c r="F448" s="21" t="n"/>
      <c r="K448" s="21" t="n"/>
      <c r="L448" s="21" t="n"/>
      <c r="M448" s="21" t="n"/>
      <c r="N448" s="21" t="n"/>
    </row>
    <row r="449">
      <c r="D449" s="21" t="n"/>
      <c r="E449" s="21" t="n"/>
      <c r="F449" s="21" t="n"/>
      <c r="K449" s="21" t="n"/>
      <c r="L449" s="21" t="n"/>
      <c r="M449" s="21" t="n"/>
      <c r="N449" s="21" t="n"/>
    </row>
    <row r="450">
      <c r="D450" s="21" t="n"/>
      <c r="E450" s="21" t="n"/>
      <c r="F450" s="21" t="n"/>
      <c r="K450" s="21" t="n"/>
      <c r="L450" s="21" t="n"/>
      <c r="M450" s="21" t="n"/>
      <c r="N450" s="21" t="n"/>
    </row>
    <row r="451">
      <c r="D451" s="21" t="n"/>
      <c r="E451" s="21" t="n"/>
      <c r="F451" s="21" t="n"/>
      <c r="K451" s="21" t="n"/>
      <c r="L451" s="21" t="n"/>
      <c r="M451" s="21" t="n"/>
      <c r="N451" s="21" t="n"/>
    </row>
    <row r="452">
      <c r="D452" s="21" t="n"/>
      <c r="E452" s="21" t="n"/>
      <c r="F452" s="21" t="n"/>
      <c r="K452" s="21" t="n"/>
      <c r="L452" s="21" t="n"/>
      <c r="M452" s="21" t="n"/>
      <c r="N452" s="21" t="n"/>
    </row>
    <row r="453">
      <c r="D453" s="21" t="n"/>
      <c r="E453" s="21" t="n"/>
      <c r="F453" s="21" t="n"/>
      <c r="K453" s="21" t="n"/>
      <c r="L453" s="21" t="n"/>
      <c r="M453" s="21" t="n"/>
      <c r="N453" s="21" t="n"/>
    </row>
    <row r="454">
      <c r="D454" s="21" t="n"/>
      <c r="E454" s="21" t="n"/>
      <c r="F454" s="21" t="n"/>
      <c r="K454" s="21" t="n"/>
      <c r="L454" s="21" t="n"/>
      <c r="M454" s="21" t="n"/>
      <c r="N454" s="21" t="n"/>
    </row>
    <row r="455">
      <c r="D455" s="21" t="n"/>
      <c r="E455" s="21" t="n"/>
      <c r="F455" s="21" t="n"/>
      <c r="K455" s="21" t="n"/>
      <c r="L455" s="21" t="n"/>
      <c r="M455" s="21" t="n"/>
      <c r="N455" s="21" t="n"/>
    </row>
    <row r="456">
      <c r="D456" s="21" t="n"/>
      <c r="E456" s="21" t="n"/>
      <c r="F456" s="21" t="n"/>
      <c r="K456" s="21" t="n"/>
      <c r="L456" s="21" t="n"/>
      <c r="M456" s="21" t="n"/>
      <c r="N456" s="21" t="n"/>
    </row>
    <row r="457">
      <c r="D457" s="21" t="n"/>
      <c r="E457" s="21" t="n"/>
      <c r="F457" s="21" t="n"/>
      <c r="K457" s="21" t="n"/>
      <c r="L457" s="21" t="n"/>
      <c r="M457" s="21" t="n"/>
      <c r="N457" s="21" t="n"/>
    </row>
    <row r="458">
      <c r="D458" s="21" t="n"/>
      <c r="E458" s="21" t="n"/>
      <c r="F458" s="21" t="n"/>
      <c r="K458" s="21" t="n"/>
      <c r="L458" s="21" t="n"/>
      <c r="M458" s="21" t="n"/>
      <c r="N458" s="21" t="n"/>
    </row>
    <row r="459">
      <c r="D459" s="21" t="n"/>
      <c r="E459" s="21" t="n"/>
      <c r="F459" s="21" t="n"/>
      <c r="K459" s="21" t="n"/>
      <c r="L459" s="21" t="n"/>
      <c r="M459" s="21" t="n"/>
      <c r="N459" s="21" t="n"/>
    </row>
    <row r="460">
      <c r="D460" s="21" t="n"/>
      <c r="E460" s="21" t="n"/>
      <c r="F460" s="21" t="n"/>
      <c r="K460" s="21" t="n"/>
      <c r="L460" s="21" t="n"/>
      <c r="M460" s="21" t="n"/>
      <c r="N460" s="21" t="n"/>
    </row>
    <row r="461">
      <c r="D461" s="21" t="n"/>
      <c r="E461" s="21" t="n"/>
      <c r="F461" s="21" t="n"/>
      <c r="K461" s="21" t="n"/>
      <c r="L461" s="21" t="n"/>
      <c r="M461" s="21" t="n"/>
      <c r="N461" s="21" t="n"/>
    </row>
    <row r="462">
      <c r="D462" s="21" t="n"/>
      <c r="E462" s="21" t="n"/>
      <c r="F462" s="21" t="n"/>
      <c r="K462" s="21" t="n"/>
      <c r="L462" s="21" t="n"/>
      <c r="M462" s="21" t="n"/>
      <c r="N462" s="21" t="n"/>
    </row>
    <row r="463">
      <c r="D463" s="21" t="n"/>
      <c r="E463" s="21" t="n"/>
      <c r="F463" s="21" t="n"/>
      <c r="K463" s="21" t="n"/>
      <c r="L463" s="21" t="n"/>
      <c r="M463" s="21" t="n"/>
      <c r="N463" s="21" t="n"/>
    </row>
    <row r="464">
      <c r="D464" s="21" t="n"/>
      <c r="E464" s="21" t="n"/>
      <c r="F464" s="21" t="n"/>
      <c r="K464" s="21" t="n"/>
      <c r="L464" s="21" t="n"/>
      <c r="M464" s="21" t="n"/>
      <c r="N464" s="21" t="n"/>
    </row>
    <row r="465">
      <c r="D465" s="21" t="n"/>
      <c r="E465" s="21" t="n"/>
      <c r="F465" s="21" t="n"/>
      <c r="K465" s="21" t="n"/>
      <c r="L465" s="21" t="n"/>
      <c r="M465" s="21" t="n"/>
      <c r="N465" s="21" t="n"/>
    </row>
    <row r="466">
      <c r="D466" s="21" t="n"/>
      <c r="E466" s="21" t="n"/>
      <c r="F466" s="21" t="n"/>
      <c r="K466" s="21" t="n"/>
      <c r="L466" s="21" t="n"/>
      <c r="M466" s="21" t="n"/>
      <c r="N466" s="21" t="n"/>
    </row>
    <row r="467">
      <c r="D467" s="21" t="n"/>
      <c r="E467" s="21" t="n"/>
      <c r="F467" s="21" t="n"/>
      <c r="K467" s="21" t="n"/>
      <c r="L467" s="21" t="n"/>
      <c r="M467" s="21" t="n"/>
      <c r="N467" s="21" t="n"/>
    </row>
    <row r="468">
      <c r="D468" s="21" t="n"/>
      <c r="E468" s="21" t="n"/>
      <c r="F468" s="21" t="n"/>
      <c r="K468" s="21" t="n"/>
      <c r="L468" s="21" t="n"/>
      <c r="M468" s="21" t="n"/>
      <c r="N468" s="21" t="n"/>
    </row>
    <row r="469">
      <c r="D469" s="21" t="n"/>
      <c r="E469" s="21" t="n"/>
      <c r="F469" s="21" t="n"/>
      <c r="K469" s="21" t="n"/>
      <c r="L469" s="21" t="n"/>
      <c r="M469" s="21" t="n"/>
      <c r="N469" s="21" t="n"/>
    </row>
    <row r="470">
      <c r="D470" s="21" t="n"/>
      <c r="E470" s="21" t="n"/>
      <c r="F470" s="21" t="n"/>
      <c r="K470" s="21" t="n"/>
      <c r="L470" s="21" t="n"/>
      <c r="M470" s="21" t="n"/>
      <c r="N470" s="21" t="n"/>
    </row>
    <row r="471">
      <c r="D471" s="21" t="n"/>
      <c r="E471" s="21" t="n"/>
      <c r="F471" s="21" t="n"/>
      <c r="K471" s="21" t="n"/>
      <c r="L471" s="21" t="n"/>
      <c r="M471" s="21" t="n"/>
      <c r="N471" s="21" t="n"/>
    </row>
    <row r="472">
      <c r="D472" s="21" t="n"/>
      <c r="E472" s="21" t="n"/>
      <c r="F472" s="21" t="n"/>
      <c r="K472" s="21" t="n"/>
      <c r="L472" s="21" t="n"/>
      <c r="M472" s="21" t="n"/>
      <c r="N472" s="21" t="n"/>
    </row>
    <row r="473">
      <c r="D473" s="21" t="n"/>
      <c r="E473" s="21" t="n"/>
      <c r="F473" s="21" t="n"/>
      <c r="K473" s="21" t="n"/>
      <c r="L473" s="21" t="n"/>
      <c r="M473" s="21" t="n"/>
      <c r="N473" s="21" t="n"/>
    </row>
    <row r="474">
      <c r="D474" s="21" t="n"/>
      <c r="E474" s="21" t="n"/>
      <c r="F474" s="21" t="n"/>
      <c r="K474" s="21" t="n"/>
      <c r="L474" s="21" t="n"/>
      <c r="M474" s="21" t="n"/>
      <c r="N474" s="21" t="n"/>
    </row>
    <row r="475">
      <c r="D475" s="21" t="n"/>
      <c r="E475" s="21" t="n"/>
      <c r="F475" s="21" t="n"/>
      <c r="K475" s="21" t="n"/>
      <c r="L475" s="21" t="n"/>
      <c r="M475" s="21" t="n"/>
      <c r="N475" s="21" t="n"/>
    </row>
    <row r="476">
      <c r="D476" s="21" t="n"/>
      <c r="E476" s="21" t="n"/>
      <c r="F476" s="21" t="n"/>
      <c r="K476" s="21" t="n"/>
      <c r="L476" s="21" t="n"/>
      <c r="M476" s="21" t="n"/>
      <c r="N476" s="21" t="n"/>
    </row>
    <row r="477">
      <c r="D477" s="21" t="n"/>
      <c r="E477" s="21" t="n"/>
      <c r="F477" s="21" t="n"/>
      <c r="K477" s="21" t="n"/>
      <c r="L477" s="21" t="n"/>
      <c r="M477" s="21" t="n"/>
      <c r="N477" s="21" t="n"/>
    </row>
    <row r="478">
      <c r="D478" s="21" t="n"/>
      <c r="E478" s="21" t="n"/>
      <c r="F478" s="21" t="n"/>
      <c r="K478" s="21" t="n"/>
      <c r="L478" s="21" t="n"/>
      <c r="M478" s="21" t="n"/>
      <c r="N478" s="21" t="n"/>
    </row>
    <row r="479">
      <c r="D479" s="21" t="n"/>
      <c r="E479" s="21" t="n"/>
      <c r="F479" s="21" t="n"/>
      <c r="K479" s="21" t="n"/>
      <c r="L479" s="21" t="n"/>
      <c r="M479" s="21" t="n"/>
      <c r="N479" s="21" t="n"/>
    </row>
    <row r="480">
      <c r="D480" s="21" t="n"/>
      <c r="E480" s="21" t="n"/>
      <c r="F480" s="21" t="n"/>
      <c r="K480" s="21" t="n"/>
      <c r="L480" s="21" t="n"/>
      <c r="M480" s="21" t="n"/>
      <c r="N480" s="21" t="n"/>
    </row>
    <row r="481">
      <c r="D481" s="21" t="n"/>
      <c r="E481" s="21" t="n"/>
      <c r="F481" s="21" t="n"/>
      <c r="K481" s="21" t="n"/>
      <c r="L481" s="21" t="n"/>
      <c r="M481" s="21" t="n"/>
      <c r="N481" s="21" t="n"/>
    </row>
    <row r="482">
      <c r="D482" s="21" t="n"/>
      <c r="E482" s="21" t="n"/>
      <c r="F482" s="21" t="n"/>
      <c r="K482" s="21" t="n"/>
      <c r="L482" s="21" t="n"/>
      <c r="M482" s="21" t="n"/>
      <c r="N482" s="21" t="n"/>
    </row>
    <row r="483">
      <c r="D483" s="21" t="n"/>
      <c r="E483" s="21" t="n"/>
      <c r="F483" s="21" t="n"/>
      <c r="K483" s="21" t="n"/>
      <c r="L483" s="21" t="n"/>
      <c r="M483" s="21" t="n"/>
      <c r="N483" s="21" t="n"/>
    </row>
    <row r="484">
      <c r="D484" s="21" t="n"/>
      <c r="E484" s="21" t="n"/>
      <c r="F484" s="21" t="n"/>
      <c r="K484" s="21" t="n"/>
      <c r="L484" s="21" t="n"/>
      <c r="M484" s="21" t="n"/>
      <c r="N484" s="21" t="n"/>
    </row>
    <row r="485">
      <c r="D485" s="21" t="n"/>
      <c r="E485" s="21" t="n"/>
      <c r="F485" s="21" t="n"/>
      <c r="K485" s="21" t="n"/>
      <c r="L485" s="21" t="n"/>
      <c r="M485" s="21" t="n"/>
      <c r="N485" s="21" t="n"/>
    </row>
    <row r="486">
      <c r="D486" s="21" t="n"/>
      <c r="E486" s="21" t="n"/>
      <c r="F486" s="21" t="n"/>
      <c r="K486" s="21" t="n"/>
      <c r="L486" s="21" t="n"/>
      <c r="M486" s="21" t="n"/>
      <c r="N486" s="21" t="n"/>
    </row>
    <row r="487">
      <c r="D487" s="21" t="n"/>
      <c r="E487" s="21" t="n"/>
      <c r="F487" s="21" t="n"/>
      <c r="K487" s="21" t="n"/>
      <c r="L487" s="21" t="n"/>
      <c r="M487" s="21" t="n"/>
      <c r="N487" s="21" t="n"/>
    </row>
    <row r="488">
      <c r="D488" s="21" t="n"/>
      <c r="E488" s="21" t="n"/>
      <c r="F488" s="21" t="n"/>
      <c r="K488" s="21" t="n"/>
      <c r="L488" s="21" t="n"/>
      <c r="M488" s="21" t="n"/>
      <c r="N488" s="21" t="n"/>
    </row>
    <row r="489">
      <c r="D489" s="21" t="n"/>
      <c r="E489" s="21" t="n"/>
      <c r="F489" s="21" t="n"/>
      <c r="K489" s="21" t="n"/>
      <c r="L489" s="21" t="n"/>
      <c r="M489" s="21" t="n"/>
      <c r="N489" s="21" t="n"/>
    </row>
    <row r="490">
      <c r="D490" s="21" t="n"/>
      <c r="E490" s="21" t="n"/>
      <c r="F490" s="21" t="n"/>
      <c r="K490" s="21" t="n"/>
      <c r="L490" s="21" t="n"/>
      <c r="M490" s="21" t="n"/>
      <c r="N490" s="21" t="n"/>
    </row>
    <row r="491">
      <c r="D491" s="21" t="n"/>
      <c r="E491" s="21" t="n"/>
      <c r="F491" s="21" t="n"/>
      <c r="K491" s="21" t="n"/>
      <c r="L491" s="21" t="n"/>
      <c r="M491" s="21" t="n"/>
      <c r="N491" s="21" t="n"/>
    </row>
    <row r="492">
      <c r="D492" s="21" t="n"/>
      <c r="E492" s="21" t="n"/>
      <c r="F492" s="21" t="n"/>
      <c r="K492" s="21" t="n"/>
      <c r="L492" s="21" t="n"/>
      <c r="M492" s="21" t="n"/>
      <c r="N492" s="21" t="n"/>
    </row>
    <row r="493">
      <c r="D493" s="21" t="n"/>
      <c r="E493" s="21" t="n"/>
      <c r="F493" s="21" t="n"/>
      <c r="K493" s="21" t="n"/>
      <c r="L493" s="21" t="n"/>
      <c r="M493" s="21" t="n"/>
      <c r="N493" s="21" t="n"/>
    </row>
    <row r="494">
      <c r="D494" s="21" t="n"/>
      <c r="E494" s="21" t="n"/>
      <c r="F494" s="21" t="n"/>
      <c r="K494" s="21" t="n"/>
      <c r="L494" s="21" t="n"/>
      <c r="M494" s="21" t="n"/>
      <c r="N494" s="21" t="n"/>
    </row>
    <row r="495">
      <c r="D495" s="21" t="n"/>
      <c r="E495" s="21" t="n"/>
      <c r="F495" s="21" t="n"/>
      <c r="K495" s="21" t="n"/>
      <c r="L495" s="21" t="n"/>
      <c r="M495" s="21" t="n"/>
      <c r="N495" s="21" t="n"/>
    </row>
    <row r="496">
      <c r="D496" s="21" t="n"/>
      <c r="E496" s="21" t="n"/>
      <c r="F496" s="21" t="n"/>
      <c r="K496" s="21" t="n"/>
      <c r="L496" s="21" t="n"/>
      <c r="M496" s="21" t="n"/>
      <c r="N496" s="21" t="n"/>
    </row>
    <row r="497">
      <c r="D497" s="21" t="n"/>
      <c r="E497" s="21" t="n"/>
      <c r="F497" s="21" t="n"/>
      <c r="K497" s="21" t="n"/>
      <c r="L497" s="21" t="n"/>
      <c r="M497" s="21" t="n"/>
      <c r="N497" s="21" t="n"/>
    </row>
    <row r="498">
      <c r="D498" s="21" t="n"/>
      <c r="E498" s="21" t="n"/>
      <c r="F498" s="21" t="n"/>
      <c r="K498" s="21" t="n"/>
      <c r="L498" s="21" t="n"/>
      <c r="M498" s="21" t="n"/>
      <c r="N498" s="21" t="n"/>
    </row>
    <row r="499">
      <c r="D499" s="21" t="n"/>
      <c r="E499" s="21" t="n"/>
      <c r="F499" s="21" t="n"/>
      <c r="K499" s="21" t="n"/>
      <c r="L499" s="21" t="n"/>
      <c r="M499" s="21" t="n"/>
      <c r="N499" s="21" t="n"/>
    </row>
    <row r="500">
      <c r="D500" s="21" t="n"/>
      <c r="E500" s="21" t="n"/>
      <c r="F500" s="21" t="n"/>
      <c r="K500" s="21" t="n"/>
      <c r="L500" s="21" t="n"/>
      <c r="M500" s="21" t="n"/>
      <c r="N500" s="21" t="n"/>
    </row>
    <row r="501">
      <c r="D501" s="21" t="n"/>
      <c r="E501" s="21" t="n"/>
      <c r="F501" s="21" t="n"/>
      <c r="K501" s="21" t="n"/>
      <c r="L501" s="21" t="n"/>
      <c r="M501" s="21" t="n"/>
      <c r="N501" s="21" t="n"/>
    </row>
    <row r="502">
      <c r="D502" s="21" t="n"/>
      <c r="E502" s="21" t="n"/>
      <c r="F502" s="21" t="n"/>
      <c r="K502" s="21" t="n"/>
      <c r="L502" s="21" t="n"/>
      <c r="M502" s="21" t="n"/>
      <c r="N502" s="21" t="n"/>
    </row>
    <row r="503">
      <c r="D503" s="21" t="n"/>
      <c r="E503" s="21" t="n"/>
      <c r="F503" s="21" t="n"/>
      <c r="K503" s="21" t="n"/>
      <c r="L503" s="21" t="n"/>
      <c r="M503" s="21" t="n"/>
      <c r="N503" s="21" t="n"/>
    </row>
    <row r="504">
      <c r="D504" s="21" t="n"/>
      <c r="E504" s="21" t="n"/>
      <c r="F504" s="21" t="n"/>
      <c r="K504" s="21" t="n"/>
      <c r="L504" s="21" t="n"/>
      <c r="M504" s="21" t="n"/>
      <c r="N504" s="21" t="n"/>
    </row>
    <row r="505">
      <c r="D505" s="21" t="n"/>
      <c r="E505" s="21" t="n"/>
      <c r="F505" s="21" t="n"/>
      <c r="K505" s="21" t="n"/>
      <c r="L505" s="21" t="n"/>
      <c r="M505" s="21" t="n"/>
      <c r="N505" s="21" t="n"/>
    </row>
    <row r="506">
      <c r="D506" s="21" t="n"/>
      <c r="E506" s="21" t="n"/>
      <c r="F506" s="21" t="n"/>
      <c r="K506" s="21" t="n"/>
      <c r="L506" s="21" t="n"/>
      <c r="M506" s="21" t="n"/>
      <c r="N506" s="21" t="n"/>
    </row>
    <row r="507">
      <c r="D507" s="21" t="n"/>
      <c r="E507" s="21" t="n"/>
      <c r="F507" s="21" t="n"/>
      <c r="K507" s="21" t="n"/>
      <c r="L507" s="21" t="n"/>
      <c r="M507" s="21" t="n"/>
      <c r="N507" s="21" t="n"/>
    </row>
    <row r="508">
      <c r="D508" s="21" t="n"/>
      <c r="E508" s="21" t="n"/>
      <c r="F508" s="21" t="n"/>
      <c r="K508" s="21" t="n"/>
      <c r="L508" s="21" t="n"/>
      <c r="M508" s="21" t="n"/>
      <c r="N508" s="21" t="n"/>
    </row>
    <row r="509">
      <c r="D509" s="21" t="n"/>
      <c r="E509" s="21" t="n"/>
      <c r="F509" s="21" t="n"/>
      <c r="K509" s="21" t="n"/>
      <c r="L509" s="21" t="n"/>
      <c r="M509" s="21" t="n"/>
      <c r="N509" s="21" t="n"/>
    </row>
    <row r="510">
      <c r="D510" s="21" t="n"/>
      <c r="E510" s="21" t="n"/>
      <c r="F510" s="21" t="n"/>
      <c r="K510" s="21" t="n"/>
      <c r="L510" s="21" t="n"/>
      <c r="M510" s="21" t="n"/>
      <c r="N510" s="21" t="n"/>
    </row>
    <row r="511">
      <c r="D511" s="21" t="n"/>
      <c r="E511" s="21" t="n"/>
      <c r="F511" s="21" t="n"/>
      <c r="K511" s="21" t="n"/>
      <c r="L511" s="21" t="n"/>
      <c r="M511" s="21" t="n"/>
      <c r="N511" s="21" t="n"/>
    </row>
    <row r="512">
      <c r="D512" s="21" t="n"/>
      <c r="E512" s="21" t="n"/>
      <c r="F512" s="21" t="n"/>
      <c r="K512" s="21" t="n"/>
      <c r="L512" s="21" t="n"/>
      <c r="M512" s="21" t="n"/>
      <c r="N512" s="21" t="n"/>
    </row>
    <row r="513">
      <c r="D513" s="21" t="n"/>
      <c r="E513" s="21" t="n"/>
      <c r="F513" s="21" t="n"/>
      <c r="K513" s="21" t="n"/>
      <c r="L513" s="21" t="n"/>
      <c r="M513" s="21" t="n"/>
      <c r="N513" s="21" t="n"/>
    </row>
    <row r="514">
      <c r="D514" s="21" t="n"/>
      <c r="E514" s="21" t="n"/>
      <c r="F514" s="21" t="n"/>
      <c r="K514" s="21" t="n"/>
      <c r="L514" s="21" t="n"/>
      <c r="M514" s="21" t="n"/>
      <c r="N514" s="21" t="n"/>
    </row>
    <row r="515">
      <c r="D515" s="21" t="n"/>
      <c r="E515" s="21" t="n"/>
      <c r="F515" s="21" t="n"/>
      <c r="K515" s="21" t="n"/>
      <c r="L515" s="21" t="n"/>
      <c r="M515" s="21" t="n"/>
      <c r="N515" s="21" t="n"/>
    </row>
    <row r="516">
      <c r="D516" s="21" t="n"/>
      <c r="E516" s="21" t="n"/>
      <c r="F516" s="21" t="n"/>
      <c r="K516" s="21" t="n"/>
      <c r="L516" s="21" t="n"/>
      <c r="M516" s="21" t="n"/>
      <c r="N516" s="21" t="n"/>
    </row>
    <row r="517">
      <c r="D517" s="21" t="n"/>
      <c r="E517" s="21" t="n"/>
      <c r="F517" s="21" t="n"/>
      <c r="K517" s="21" t="n"/>
      <c r="L517" s="21" t="n"/>
      <c r="M517" s="21" t="n"/>
      <c r="N517" s="21" t="n"/>
    </row>
    <row r="518">
      <c r="D518" s="21" t="n"/>
      <c r="E518" s="21" t="n"/>
      <c r="F518" s="21" t="n"/>
      <c r="K518" s="21" t="n"/>
      <c r="L518" s="21" t="n"/>
      <c r="M518" s="21" t="n"/>
      <c r="N518" s="21" t="n"/>
    </row>
    <row r="519">
      <c r="D519" s="21" t="n"/>
      <c r="E519" s="21" t="n"/>
      <c r="F519" s="21" t="n"/>
      <c r="K519" s="21" t="n"/>
      <c r="L519" s="21" t="n"/>
      <c r="M519" s="21" t="n"/>
      <c r="N519" s="21" t="n"/>
    </row>
    <row r="520">
      <c r="D520" s="21" t="n"/>
      <c r="E520" s="21" t="n"/>
      <c r="F520" s="21" t="n"/>
      <c r="K520" s="21" t="n"/>
      <c r="L520" s="21" t="n"/>
      <c r="M520" s="21" t="n"/>
      <c r="N520" s="21" t="n"/>
    </row>
    <row r="521">
      <c r="D521" s="21" t="n"/>
      <c r="E521" s="21" t="n"/>
      <c r="F521" s="21" t="n"/>
      <c r="K521" s="21" t="n"/>
      <c r="L521" s="21" t="n"/>
      <c r="M521" s="21" t="n"/>
      <c r="N521" s="21" t="n"/>
    </row>
    <row r="522">
      <c r="D522" s="21" t="n"/>
      <c r="E522" s="21" t="n"/>
      <c r="F522" s="21" t="n"/>
      <c r="K522" s="21" t="n"/>
      <c r="L522" s="21" t="n"/>
      <c r="M522" s="21" t="n"/>
      <c r="N522" s="21" t="n"/>
    </row>
    <row r="523">
      <c r="D523" s="21" t="n"/>
      <c r="E523" s="21" t="n"/>
      <c r="F523" s="21" t="n"/>
      <c r="K523" s="21" t="n"/>
      <c r="L523" s="21" t="n"/>
      <c r="M523" s="21" t="n"/>
      <c r="N523" s="21" t="n"/>
    </row>
    <row r="524">
      <c r="D524" s="21" t="n"/>
      <c r="E524" s="21" t="n"/>
      <c r="F524" s="21" t="n"/>
      <c r="K524" s="21" t="n"/>
      <c r="L524" s="21" t="n"/>
      <c r="M524" s="21" t="n"/>
      <c r="N524" s="21" t="n"/>
    </row>
    <row r="525">
      <c r="D525" s="21" t="n"/>
      <c r="E525" s="21" t="n"/>
      <c r="F525" s="21" t="n"/>
      <c r="K525" s="21" t="n"/>
      <c r="L525" s="21" t="n"/>
      <c r="M525" s="21" t="n"/>
      <c r="N525" s="21" t="n"/>
    </row>
    <row r="526">
      <c r="D526" s="21" t="n"/>
      <c r="E526" s="21" t="n"/>
      <c r="F526" s="21" t="n"/>
      <c r="K526" s="21" t="n"/>
      <c r="L526" s="21" t="n"/>
      <c r="M526" s="21" t="n"/>
      <c r="N526" s="21" t="n"/>
    </row>
    <row r="527">
      <c r="D527" s="21" t="n"/>
      <c r="E527" s="21" t="n"/>
      <c r="F527" s="21" t="n"/>
      <c r="K527" s="21" t="n"/>
      <c r="L527" s="21" t="n"/>
      <c r="M527" s="21" t="n"/>
      <c r="N527" s="21" t="n"/>
    </row>
    <row r="528">
      <c r="D528" s="21" t="n"/>
      <c r="E528" s="21" t="n"/>
      <c r="F528" s="21" t="n"/>
      <c r="K528" s="21" t="n"/>
      <c r="L528" s="21" t="n"/>
      <c r="M528" s="21" t="n"/>
      <c r="N528" s="21" t="n"/>
    </row>
    <row r="529">
      <c r="D529" s="21" t="n"/>
      <c r="E529" s="21" t="n"/>
      <c r="F529" s="21" t="n"/>
      <c r="K529" s="21" t="n"/>
      <c r="L529" s="21" t="n"/>
      <c r="M529" s="21" t="n"/>
      <c r="N529" s="21" t="n"/>
    </row>
    <row r="530">
      <c r="D530" s="21" t="n"/>
      <c r="E530" s="21" t="n"/>
      <c r="F530" s="21" t="n"/>
      <c r="K530" s="21" t="n"/>
      <c r="L530" s="21" t="n"/>
      <c r="M530" s="21" t="n"/>
      <c r="N530" s="21" t="n"/>
    </row>
    <row r="531">
      <c r="D531" s="21" t="n"/>
      <c r="E531" s="21" t="n"/>
      <c r="F531" s="21" t="n"/>
      <c r="K531" s="21" t="n"/>
      <c r="L531" s="21" t="n"/>
      <c r="M531" s="21" t="n"/>
      <c r="N531" s="21" t="n"/>
    </row>
    <row r="532">
      <c r="D532" s="21" t="n"/>
      <c r="E532" s="21" t="n"/>
      <c r="F532" s="21" t="n"/>
      <c r="K532" s="21" t="n"/>
      <c r="L532" s="21" t="n"/>
      <c r="M532" s="21" t="n"/>
      <c r="N532" s="21" t="n"/>
    </row>
    <row r="533">
      <c r="D533" s="21" t="n"/>
      <c r="E533" s="21" t="n"/>
      <c r="F533" s="21" t="n"/>
      <c r="K533" s="21" t="n"/>
      <c r="L533" s="21" t="n"/>
      <c r="M533" s="21" t="n"/>
      <c r="N533" s="21" t="n"/>
    </row>
    <row r="534">
      <c r="D534" s="21" t="n"/>
      <c r="E534" s="21" t="n"/>
      <c r="F534" s="21" t="n"/>
      <c r="K534" s="21" t="n"/>
      <c r="L534" s="21" t="n"/>
      <c r="M534" s="21" t="n"/>
      <c r="N534" s="21" t="n"/>
    </row>
    <row r="535">
      <c r="D535" s="21" t="n"/>
      <c r="E535" s="21" t="n"/>
      <c r="F535" s="21" t="n"/>
      <c r="K535" s="21" t="n"/>
      <c r="L535" s="21" t="n"/>
      <c r="M535" s="21" t="n"/>
      <c r="N535" s="21" t="n"/>
    </row>
    <row r="536">
      <c r="D536" s="21" t="n"/>
      <c r="E536" s="21" t="n"/>
      <c r="F536" s="21" t="n"/>
      <c r="K536" s="21" t="n"/>
      <c r="L536" s="21" t="n"/>
      <c r="M536" s="21" t="n"/>
      <c r="N536" s="21" t="n"/>
    </row>
    <row r="537">
      <c r="D537" s="21" t="n"/>
      <c r="E537" s="21" t="n"/>
      <c r="F537" s="21" t="n"/>
      <c r="K537" s="21" t="n"/>
      <c r="L537" s="21" t="n"/>
      <c r="M537" s="21" t="n"/>
      <c r="N537" s="21" t="n"/>
    </row>
    <row r="538">
      <c r="D538" s="21" t="n"/>
      <c r="E538" s="21" t="n"/>
      <c r="F538" s="21" t="n"/>
      <c r="K538" s="21" t="n"/>
      <c r="L538" s="21" t="n"/>
      <c r="M538" s="21" t="n"/>
      <c r="N538" s="21" t="n"/>
    </row>
    <row r="539">
      <c r="D539" s="21" t="n"/>
      <c r="E539" s="21" t="n"/>
      <c r="F539" s="21" t="n"/>
      <c r="K539" s="21" t="n"/>
      <c r="L539" s="21" t="n"/>
      <c r="M539" s="21" t="n"/>
      <c r="N539" s="21" t="n"/>
    </row>
    <row r="540">
      <c r="D540" s="21" t="n"/>
      <c r="E540" s="21" t="n"/>
      <c r="F540" s="21" t="n"/>
      <c r="K540" s="21" t="n"/>
      <c r="L540" s="21" t="n"/>
      <c r="M540" s="21" t="n"/>
      <c r="N540" s="21" t="n"/>
    </row>
    <row r="541">
      <c r="D541" s="21" t="n"/>
      <c r="E541" s="21" t="n"/>
      <c r="F541" s="21" t="n"/>
      <c r="K541" s="21" t="n"/>
      <c r="L541" s="21" t="n"/>
      <c r="M541" s="21" t="n"/>
      <c r="N541" s="21" t="n"/>
    </row>
    <row r="542">
      <c r="D542" s="21" t="n"/>
      <c r="E542" s="21" t="n"/>
      <c r="F542" s="21" t="n"/>
      <c r="K542" s="21" t="n"/>
      <c r="L542" s="21" t="n"/>
      <c r="M542" s="21" t="n"/>
      <c r="N542" s="21" t="n"/>
    </row>
    <row r="543">
      <c r="D543" s="21" t="n"/>
      <c r="E543" s="21" t="n"/>
      <c r="F543" s="21" t="n"/>
      <c r="K543" s="21" t="n"/>
      <c r="L543" s="21" t="n"/>
      <c r="M543" s="21" t="n"/>
      <c r="N543" s="21" t="n"/>
    </row>
    <row r="544">
      <c r="D544" s="21" t="n"/>
      <c r="E544" s="21" t="n"/>
      <c r="F544" s="21" t="n"/>
      <c r="K544" s="21" t="n"/>
      <c r="L544" s="21" t="n"/>
      <c r="M544" s="21" t="n"/>
      <c r="N544" s="21" t="n"/>
    </row>
    <row r="545">
      <c r="D545" s="21" t="n"/>
      <c r="E545" s="21" t="n"/>
      <c r="F545" s="21" t="n"/>
      <c r="K545" s="21" t="n"/>
      <c r="L545" s="21" t="n"/>
      <c r="M545" s="21" t="n"/>
      <c r="N545" s="21" t="n"/>
    </row>
    <row r="546">
      <c r="D546" s="21" t="n"/>
      <c r="E546" s="21" t="n"/>
      <c r="F546" s="21" t="n"/>
      <c r="K546" s="21" t="n"/>
      <c r="L546" s="21" t="n"/>
      <c r="M546" s="21" t="n"/>
      <c r="N546" s="21" t="n"/>
    </row>
    <row r="547">
      <c r="D547" s="21" t="n"/>
      <c r="E547" s="21" t="n"/>
      <c r="F547" s="21" t="n"/>
      <c r="K547" s="21" t="n"/>
      <c r="L547" s="21" t="n"/>
      <c r="M547" s="21" t="n"/>
      <c r="N547" s="21" t="n"/>
    </row>
    <row r="548">
      <c r="D548" s="21" t="n"/>
      <c r="E548" s="21" t="n"/>
      <c r="F548" s="21" t="n"/>
      <c r="K548" s="21" t="n"/>
      <c r="L548" s="21" t="n"/>
      <c r="M548" s="21" t="n"/>
      <c r="N548" s="21" t="n"/>
    </row>
    <row r="549">
      <c r="D549" s="21" t="n"/>
      <c r="E549" s="21" t="n"/>
      <c r="F549" s="21" t="n"/>
      <c r="K549" s="21" t="n"/>
      <c r="L549" s="21" t="n"/>
      <c r="M549" s="21" t="n"/>
      <c r="N549" s="21" t="n"/>
    </row>
    <row r="550">
      <c r="D550" s="21" t="n"/>
      <c r="E550" s="21" t="n"/>
      <c r="F550" s="21" t="n"/>
      <c r="K550" s="21" t="n"/>
      <c r="L550" s="21" t="n"/>
      <c r="M550" s="21" t="n"/>
      <c r="N550" s="21" t="n"/>
    </row>
    <row r="551">
      <c r="D551" s="21" t="n"/>
      <c r="E551" s="21" t="n"/>
      <c r="F551" s="21" t="n"/>
      <c r="K551" s="21" t="n"/>
      <c r="L551" s="21" t="n"/>
      <c r="M551" s="21" t="n"/>
      <c r="N551" s="21" t="n"/>
    </row>
    <row r="552">
      <c r="D552" s="21" t="n"/>
      <c r="E552" s="21" t="n"/>
      <c r="F552" s="21" t="n"/>
      <c r="K552" s="21" t="n"/>
      <c r="L552" s="21" t="n"/>
      <c r="M552" s="21" t="n"/>
      <c r="N552" s="21" t="n"/>
    </row>
    <row r="553">
      <c r="D553" s="21" t="n"/>
      <c r="E553" s="21" t="n"/>
      <c r="F553" s="21" t="n"/>
      <c r="K553" s="21" t="n"/>
      <c r="L553" s="21" t="n"/>
      <c r="M553" s="21" t="n"/>
      <c r="N553" s="21" t="n"/>
    </row>
    <row r="554">
      <c r="D554" s="21" t="n"/>
      <c r="E554" s="21" t="n"/>
      <c r="F554" s="21" t="n"/>
      <c r="K554" s="21" t="n"/>
      <c r="L554" s="21" t="n"/>
      <c r="M554" s="21" t="n"/>
      <c r="N554" s="21" t="n"/>
    </row>
    <row r="555">
      <c r="D555" s="21" t="n"/>
      <c r="E555" s="21" t="n"/>
      <c r="F555" s="21" t="n"/>
      <c r="K555" s="21" t="n"/>
      <c r="L555" s="21" t="n"/>
      <c r="M555" s="21" t="n"/>
      <c r="N555" s="21" t="n"/>
    </row>
    <row r="556">
      <c r="D556" s="21" t="n"/>
      <c r="E556" s="21" t="n"/>
      <c r="F556" s="21" t="n"/>
      <c r="K556" s="21" t="n"/>
      <c r="L556" s="21" t="n"/>
      <c r="M556" s="21" t="n"/>
      <c r="N556" s="21" t="n"/>
    </row>
    <row r="557">
      <c r="D557" s="21" t="n"/>
      <c r="E557" s="21" t="n"/>
      <c r="F557" s="21" t="n"/>
      <c r="K557" s="21" t="n"/>
      <c r="L557" s="21" t="n"/>
      <c r="M557" s="21" t="n"/>
      <c r="N557" s="21" t="n"/>
    </row>
    <row r="558">
      <c r="D558" s="21" t="n"/>
      <c r="E558" s="21" t="n"/>
      <c r="F558" s="21" t="n"/>
      <c r="K558" s="21" t="n"/>
      <c r="L558" s="21" t="n"/>
      <c r="M558" s="21" t="n"/>
      <c r="N558" s="21" t="n"/>
    </row>
    <row r="559">
      <c r="D559" s="21" t="n"/>
      <c r="E559" s="21" t="n"/>
      <c r="F559" s="21" t="n"/>
      <c r="K559" s="21" t="n"/>
      <c r="L559" s="21" t="n"/>
      <c r="M559" s="21" t="n"/>
      <c r="N559" s="21" t="n"/>
    </row>
    <row r="560">
      <c r="D560" s="21" t="n"/>
      <c r="E560" s="21" t="n"/>
      <c r="F560" s="21" t="n"/>
      <c r="K560" s="21" t="n"/>
      <c r="L560" s="21" t="n"/>
      <c r="M560" s="21" t="n"/>
      <c r="N560" s="21" t="n"/>
    </row>
    <row r="561">
      <c r="D561" s="21" t="n"/>
      <c r="E561" s="21" t="n"/>
      <c r="F561" s="21" t="n"/>
      <c r="K561" s="21" t="n"/>
      <c r="L561" s="21" t="n"/>
      <c r="M561" s="21" t="n"/>
      <c r="N561" s="21" t="n"/>
    </row>
    <row r="562">
      <c r="D562" s="21" t="n"/>
      <c r="E562" s="21" t="n"/>
      <c r="F562" s="21" t="n"/>
      <c r="K562" s="21" t="n"/>
      <c r="L562" s="21" t="n"/>
      <c r="M562" s="21" t="n"/>
      <c r="N562" s="21" t="n"/>
    </row>
    <row r="563">
      <c r="D563" s="21" t="n"/>
      <c r="E563" s="21" t="n"/>
      <c r="F563" s="21" t="n"/>
      <c r="K563" s="21" t="n"/>
      <c r="L563" s="21" t="n"/>
      <c r="M563" s="21" t="n"/>
      <c r="N563" s="21" t="n"/>
    </row>
    <row r="564">
      <c r="D564" s="21" t="n"/>
      <c r="E564" s="21" t="n"/>
      <c r="F564" s="21" t="n"/>
      <c r="K564" s="21" t="n"/>
      <c r="L564" s="21" t="n"/>
      <c r="M564" s="21" t="n"/>
      <c r="N564" s="21" t="n"/>
    </row>
    <row r="565">
      <c r="D565" s="21" t="n"/>
      <c r="E565" s="21" t="n"/>
      <c r="F565" s="21" t="n"/>
      <c r="K565" s="21" t="n"/>
      <c r="L565" s="21" t="n"/>
      <c r="M565" s="21" t="n"/>
      <c r="N565" s="21" t="n"/>
    </row>
    <row r="566">
      <c r="D566" s="21" t="n"/>
      <c r="E566" s="21" t="n"/>
      <c r="F566" s="21" t="n"/>
      <c r="K566" s="21" t="n"/>
      <c r="L566" s="21" t="n"/>
      <c r="M566" s="21" t="n"/>
      <c r="N566" s="21" t="n"/>
    </row>
    <row r="567">
      <c r="D567" s="21" t="n"/>
      <c r="E567" s="21" t="n"/>
      <c r="F567" s="21" t="n"/>
      <c r="K567" s="21" t="n"/>
      <c r="L567" s="21" t="n"/>
      <c r="M567" s="21" t="n"/>
      <c r="N567" s="21" t="n"/>
    </row>
    <row r="568">
      <c r="D568" s="21" t="n"/>
      <c r="E568" s="21" t="n"/>
      <c r="F568" s="21" t="n"/>
      <c r="K568" s="21" t="n"/>
      <c r="L568" s="21" t="n"/>
      <c r="M568" s="21" t="n"/>
      <c r="N568" s="21" t="n"/>
    </row>
    <row r="569">
      <c r="D569" s="21" t="n"/>
      <c r="E569" s="21" t="n"/>
      <c r="F569" s="21" t="n"/>
      <c r="K569" s="21" t="n"/>
      <c r="L569" s="21" t="n"/>
      <c r="M569" s="21" t="n"/>
      <c r="N569" s="21" t="n"/>
    </row>
    <row r="570">
      <c r="D570" s="21" t="n"/>
      <c r="E570" s="21" t="n"/>
      <c r="F570" s="21" t="n"/>
      <c r="K570" s="21" t="n"/>
      <c r="L570" s="21" t="n"/>
      <c r="M570" s="21" t="n"/>
      <c r="N570" s="21" t="n"/>
    </row>
    <row r="571">
      <c r="D571" s="21" t="n"/>
      <c r="E571" s="21" t="n"/>
      <c r="F571" s="21" t="n"/>
      <c r="K571" s="21" t="n"/>
      <c r="L571" s="21" t="n"/>
      <c r="M571" s="21" t="n"/>
      <c r="N571" s="21" t="n"/>
    </row>
    <row r="572">
      <c r="D572" s="21" t="n"/>
      <c r="E572" s="21" t="n"/>
      <c r="F572" s="21" t="n"/>
      <c r="K572" s="21" t="n"/>
      <c r="L572" s="21" t="n"/>
      <c r="M572" s="21" t="n"/>
      <c r="N572" s="21" t="n"/>
    </row>
    <row r="573">
      <c r="D573" s="21" t="n"/>
      <c r="E573" s="21" t="n"/>
      <c r="F573" s="21" t="n"/>
      <c r="K573" s="21" t="n"/>
      <c r="L573" s="21" t="n"/>
      <c r="M573" s="21" t="n"/>
      <c r="N573" s="21" t="n"/>
    </row>
    <row r="574">
      <c r="D574" s="21" t="n"/>
      <c r="E574" s="21" t="n"/>
      <c r="F574" s="21" t="n"/>
      <c r="K574" s="21" t="n"/>
      <c r="L574" s="21" t="n"/>
      <c r="M574" s="21" t="n"/>
      <c r="N574" s="21" t="n"/>
    </row>
    <row r="575">
      <c r="D575" s="21" t="n"/>
      <c r="E575" s="21" t="n"/>
      <c r="F575" s="21" t="n"/>
      <c r="K575" s="21" t="n"/>
      <c r="L575" s="21" t="n"/>
      <c r="M575" s="21" t="n"/>
      <c r="N575" s="21" t="n"/>
    </row>
    <row r="576">
      <c r="D576" s="21" t="n"/>
      <c r="E576" s="21" t="n"/>
      <c r="F576" s="21" t="n"/>
      <c r="K576" s="21" t="n"/>
      <c r="L576" s="21" t="n"/>
      <c r="M576" s="21" t="n"/>
      <c r="N576" s="21" t="n"/>
    </row>
    <row r="577">
      <c r="D577" s="21" t="n"/>
      <c r="E577" s="21" t="n"/>
      <c r="F577" s="21" t="n"/>
      <c r="K577" s="21" t="n"/>
      <c r="L577" s="21" t="n"/>
      <c r="M577" s="21" t="n"/>
      <c r="N577" s="21" t="n"/>
    </row>
    <row r="578">
      <c r="D578" s="21" t="n"/>
      <c r="E578" s="21" t="n"/>
      <c r="F578" s="21" t="n"/>
      <c r="K578" s="21" t="n"/>
      <c r="L578" s="21" t="n"/>
      <c r="M578" s="21" t="n"/>
      <c r="N578" s="21" t="n"/>
    </row>
    <row r="579">
      <c r="D579" s="21" t="n"/>
      <c r="E579" s="21" t="n"/>
      <c r="F579" s="21" t="n"/>
      <c r="K579" s="21" t="n"/>
      <c r="L579" s="21" t="n"/>
      <c r="M579" s="21" t="n"/>
      <c r="N579" s="21" t="n"/>
    </row>
    <row r="580">
      <c r="D580" s="21" t="n"/>
      <c r="E580" s="21" t="n"/>
      <c r="F580" s="21" t="n"/>
      <c r="K580" s="21" t="n"/>
      <c r="L580" s="21" t="n"/>
      <c r="M580" s="21" t="n"/>
      <c r="N580" s="21" t="n"/>
    </row>
    <row r="581">
      <c r="D581" s="21" t="n"/>
      <c r="E581" s="21" t="n"/>
      <c r="F581" s="21" t="n"/>
      <c r="K581" s="21" t="n"/>
      <c r="L581" s="21" t="n"/>
      <c r="M581" s="21" t="n"/>
      <c r="N581" s="21" t="n"/>
    </row>
    <row r="582">
      <c r="D582" s="21" t="n"/>
      <c r="E582" s="21" t="n"/>
      <c r="F582" s="21" t="n"/>
      <c r="K582" s="21" t="n"/>
      <c r="L582" s="21" t="n"/>
      <c r="M582" s="21" t="n"/>
      <c r="N582" s="21" t="n"/>
    </row>
    <row r="583">
      <c r="D583" s="21" t="n"/>
      <c r="E583" s="21" t="n"/>
      <c r="F583" s="21" t="n"/>
      <c r="K583" s="21" t="n"/>
      <c r="L583" s="21" t="n"/>
      <c r="M583" s="21" t="n"/>
      <c r="N583" s="21" t="n"/>
    </row>
    <row r="584">
      <c r="D584" s="21" t="n"/>
      <c r="E584" s="21" t="n"/>
      <c r="F584" s="21" t="n"/>
      <c r="K584" s="21" t="n"/>
      <c r="L584" s="21" t="n"/>
      <c r="M584" s="21" t="n"/>
      <c r="N584" s="21" t="n"/>
    </row>
    <row r="585">
      <c r="D585" s="21" t="n"/>
      <c r="E585" s="21" t="n"/>
      <c r="F585" s="21" t="n"/>
      <c r="K585" s="21" t="n"/>
      <c r="L585" s="21" t="n"/>
      <c r="M585" s="21" t="n"/>
      <c r="N585" s="21" t="n"/>
    </row>
    <row r="586">
      <c r="D586" s="21" t="n"/>
      <c r="E586" s="21" t="n"/>
      <c r="F586" s="21" t="n"/>
      <c r="K586" s="21" t="n"/>
      <c r="L586" s="21" t="n"/>
      <c r="M586" s="21" t="n"/>
      <c r="N586" s="21" t="n"/>
    </row>
    <row r="587">
      <c r="D587" s="21" t="n"/>
      <c r="E587" s="21" t="n"/>
      <c r="F587" s="21" t="n"/>
      <c r="K587" s="21" t="n"/>
      <c r="L587" s="21" t="n"/>
      <c r="M587" s="21" t="n"/>
      <c r="N587" s="21" t="n"/>
    </row>
    <row r="588">
      <c r="D588" s="21" t="n"/>
      <c r="E588" s="21" t="n"/>
      <c r="F588" s="21" t="n"/>
      <c r="K588" s="21" t="n"/>
      <c r="L588" s="21" t="n"/>
      <c r="M588" s="21" t="n"/>
      <c r="N588" s="21" t="n"/>
    </row>
    <row r="589">
      <c r="D589" s="21" t="n"/>
      <c r="E589" s="21" t="n"/>
      <c r="F589" s="21" t="n"/>
      <c r="K589" s="21" t="n"/>
      <c r="L589" s="21" t="n"/>
      <c r="M589" s="21" t="n"/>
      <c r="N589" s="21" t="n"/>
    </row>
    <row r="590">
      <c r="D590" s="21" t="n"/>
      <c r="E590" s="21" t="n"/>
      <c r="F590" s="21" t="n"/>
      <c r="K590" s="21" t="n"/>
      <c r="L590" s="21" t="n"/>
      <c r="M590" s="21" t="n"/>
      <c r="N590" s="21" t="n"/>
    </row>
    <row r="591">
      <c r="D591" s="21" t="n"/>
      <c r="E591" s="21" t="n"/>
      <c r="F591" s="21" t="n"/>
      <c r="K591" s="21" t="n"/>
      <c r="L591" s="21" t="n"/>
      <c r="M591" s="21" t="n"/>
      <c r="N591" s="21" t="n"/>
    </row>
    <row r="592">
      <c r="D592" s="21" t="n"/>
      <c r="E592" s="21" t="n"/>
      <c r="F592" s="21" t="n"/>
      <c r="K592" s="21" t="n"/>
      <c r="L592" s="21" t="n"/>
      <c r="M592" s="21" t="n"/>
      <c r="N592" s="21" t="n"/>
    </row>
    <row r="593">
      <c r="D593" s="21" t="n"/>
      <c r="E593" s="21" t="n"/>
      <c r="F593" s="21" t="n"/>
      <c r="K593" s="21" t="n"/>
      <c r="L593" s="21" t="n"/>
      <c r="M593" s="21" t="n"/>
      <c r="N593" s="21" t="n"/>
    </row>
    <row r="594">
      <c r="D594" s="21" t="n"/>
      <c r="E594" s="21" t="n"/>
      <c r="F594" s="21" t="n"/>
      <c r="K594" s="21" t="n"/>
      <c r="L594" s="21" t="n"/>
      <c r="M594" s="21" t="n"/>
      <c r="N594" s="21" t="n"/>
    </row>
    <row r="595">
      <c r="D595" s="21" t="n"/>
      <c r="E595" s="21" t="n"/>
      <c r="F595" s="21" t="n"/>
      <c r="K595" s="21" t="n"/>
      <c r="L595" s="21" t="n"/>
      <c r="M595" s="21" t="n"/>
      <c r="N595" s="21" t="n"/>
    </row>
    <row r="596">
      <c r="D596" s="21" t="n"/>
      <c r="E596" s="21" t="n"/>
      <c r="F596" s="21" t="n"/>
      <c r="K596" s="21" t="n"/>
      <c r="L596" s="21" t="n"/>
      <c r="M596" s="21" t="n"/>
      <c r="N596" s="21" t="n"/>
    </row>
    <row r="597">
      <c r="D597" s="21" t="n"/>
      <c r="E597" s="21" t="n"/>
      <c r="F597" s="21" t="n"/>
      <c r="K597" s="21" t="n"/>
      <c r="L597" s="21" t="n"/>
      <c r="M597" s="21" t="n"/>
      <c r="N597" s="21" t="n"/>
    </row>
    <row r="598">
      <c r="D598" s="21" t="n"/>
      <c r="E598" s="21" t="n"/>
      <c r="F598" s="21" t="n"/>
      <c r="K598" s="21" t="n"/>
      <c r="L598" s="21" t="n"/>
      <c r="M598" s="21" t="n"/>
      <c r="N598" s="21" t="n"/>
    </row>
    <row r="599">
      <c r="D599" s="21" t="n"/>
      <c r="E599" s="21" t="n"/>
      <c r="F599" s="21" t="n"/>
      <c r="K599" s="21" t="n"/>
      <c r="L599" s="21" t="n"/>
      <c r="M599" s="21" t="n"/>
      <c r="N599" s="21" t="n"/>
    </row>
    <row r="600">
      <c r="D600" s="21" t="n"/>
      <c r="E600" s="21" t="n"/>
      <c r="F600" s="21" t="n"/>
      <c r="K600" s="21" t="n"/>
      <c r="L600" s="21" t="n"/>
      <c r="M600" s="21" t="n"/>
      <c r="N600" s="21" t="n"/>
    </row>
    <row r="601">
      <c r="D601" s="21" t="n"/>
      <c r="E601" s="21" t="n"/>
      <c r="F601" s="21" t="n"/>
      <c r="K601" s="21" t="n"/>
      <c r="L601" s="21" t="n"/>
      <c r="M601" s="21" t="n"/>
      <c r="N601" s="21" t="n"/>
    </row>
    <row r="602">
      <c r="D602" s="21" t="n"/>
      <c r="E602" s="21" t="n"/>
      <c r="F602" s="21" t="n"/>
      <c r="K602" s="21" t="n"/>
      <c r="L602" s="21" t="n"/>
      <c r="M602" s="21" t="n"/>
      <c r="N602" s="21" t="n"/>
    </row>
    <row r="603">
      <c r="D603" s="21" t="n"/>
      <c r="E603" s="21" t="n"/>
      <c r="F603" s="21" t="n"/>
      <c r="K603" s="21" t="n"/>
      <c r="L603" s="21" t="n"/>
      <c r="M603" s="21" t="n"/>
      <c r="N603" s="21" t="n"/>
    </row>
    <row r="604">
      <c r="D604" s="21" t="n"/>
      <c r="E604" s="21" t="n"/>
      <c r="F604" s="21" t="n"/>
      <c r="K604" s="21" t="n"/>
      <c r="L604" s="21" t="n"/>
      <c r="M604" s="21" t="n"/>
      <c r="N604" s="21" t="n"/>
    </row>
    <row r="605">
      <c r="D605" s="21" t="n"/>
      <c r="E605" s="21" t="n"/>
      <c r="F605" s="21" t="n"/>
      <c r="K605" s="21" t="n"/>
      <c r="L605" s="21" t="n"/>
      <c r="M605" s="21" t="n"/>
      <c r="N605" s="21" t="n"/>
    </row>
    <row r="606">
      <c r="D606" s="21" t="n"/>
      <c r="E606" s="21" t="n"/>
      <c r="F606" s="21" t="n"/>
      <c r="K606" s="21" t="n"/>
      <c r="L606" s="21" t="n"/>
      <c r="M606" s="21" t="n"/>
      <c r="N606" s="21" t="n"/>
    </row>
    <row r="607">
      <c r="D607" s="21" t="n"/>
      <c r="E607" s="21" t="n"/>
      <c r="F607" s="21" t="n"/>
      <c r="K607" s="21" t="n"/>
      <c r="L607" s="21" t="n"/>
      <c r="M607" s="21" t="n"/>
      <c r="N607" s="21" t="n"/>
    </row>
    <row r="608">
      <c r="D608" s="21" t="n"/>
      <c r="E608" s="21" t="n"/>
      <c r="F608" s="21" t="n"/>
      <c r="K608" s="21" t="n"/>
      <c r="L608" s="21" t="n"/>
      <c r="M608" s="21" t="n"/>
      <c r="N608" s="21" t="n"/>
    </row>
    <row r="609">
      <c r="D609" s="21" t="n"/>
      <c r="E609" s="21" t="n"/>
      <c r="F609" s="21" t="n"/>
      <c r="K609" s="21" t="n"/>
      <c r="L609" s="21" t="n"/>
      <c r="M609" s="21" t="n"/>
      <c r="N609" s="21" t="n"/>
    </row>
    <row r="610">
      <c r="D610" s="21" t="n"/>
      <c r="E610" s="21" t="n"/>
      <c r="F610" s="21" t="n"/>
      <c r="K610" s="21" t="n"/>
      <c r="L610" s="21" t="n"/>
      <c r="M610" s="21" t="n"/>
      <c r="N610" s="21" t="n"/>
    </row>
    <row r="611">
      <c r="D611" s="21" t="n"/>
      <c r="E611" s="21" t="n"/>
      <c r="F611" s="21" t="n"/>
      <c r="K611" s="21" t="n"/>
      <c r="L611" s="21" t="n"/>
      <c r="M611" s="21" t="n"/>
      <c r="N611" s="21" t="n"/>
    </row>
    <row r="612">
      <c r="D612" s="21" t="n"/>
      <c r="E612" s="21" t="n"/>
      <c r="F612" s="21" t="n"/>
      <c r="K612" s="21" t="n"/>
      <c r="L612" s="21" t="n"/>
      <c r="M612" s="21" t="n"/>
      <c r="N612" s="21" t="n"/>
    </row>
    <row r="613">
      <c r="D613" s="21" t="n"/>
      <c r="E613" s="21" t="n"/>
      <c r="F613" s="21" t="n"/>
      <c r="K613" s="21" t="n"/>
      <c r="L613" s="21" t="n"/>
      <c r="M613" s="21" t="n"/>
      <c r="N613" s="21" t="n"/>
    </row>
    <row r="614">
      <c r="D614" s="21" t="n"/>
      <c r="E614" s="21" t="n"/>
      <c r="F614" s="21" t="n"/>
      <c r="K614" s="21" t="n"/>
      <c r="L614" s="21" t="n"/>
      <c r="M614" s="21" t="n"/>
      <c r="N614" s="21" t="n"/>
    </row>
    <row r="615">
      <c r="D615" s="21" t="n"/>
      <c r="E615" s="21" t="n"/>
      <c r="F615" s="21" t="n"/>
      <c r="K615" s="21" t="n"/>
      <c r="L615" s="21" t="n"/>
      <c r="M615" s="21" t="n"/>
      <c r="N615" s="21" t="n"/>
    </row>
    <row r="616">
      <c r="D616" s="21" t="n"/>
      <c r="E616" s="21" t="n"/>
      <c r="F616" s="21" t="n"/>
      <c r="K616" s="21" t="n"/>
      <c r="L616" s="21" t="n"/>
      <c r="M616" s="21" t="n"/>
      <c r="N616" s="21" t="n"/>
    </row>
    <row r="617">
      <c r="D617" s="21" t="n"/>
      <c r="E617" s="21" t="n"/>
      <c r="F617" s="21" t="n"/>
      <c r="K617" s="21" t="n"/>
      <c r="L617" s="21" t="n"/>
      <c r="M617" s="21" t="n"/>
      <c r="N617" s="21" t="n"/>
    </row>
    <row r="618">
      <c r="D618" s="21" t="n"/>
      <c r="E618" s="21" t="n"/>
      <c r="F618" s="21" t="n"/>
      <c r="K618" s="21" t="n"/>
      <c r="L618" s="21" t="n"/>
      <c r="M618" s="21" t="n"/>
      <c r="N618" s="21" t="n"/>
    </row>
    <row r="619">
      <c r="D619" s="21" t="n"/>
      <c r="E619" s="21" t="n"/>
      <c r="F619" s="21" t="n"/>
      <c r="K619" s="21" t="n"/>
      <c r="L619" s="21" t="n"/>
      <c r="M619" s="21" t="n"/>
      <c r="N619" s="21" t="n"/>
    </row>
    <row r="620">
      <c r="D620" s="21" t="n"/>
      <c r="E620" s="21" t="n"/>
      <c r="F620" s="21" t="n"/>
      <c r="K620" s="21" t="n"/>
      <c r="L620" s="21" t="n"/>
      <c r="M620" s="21" t="n"/>
      <c r="N620" s="21" t="n"/>
    </row>
    <row r="621">
      <c r="D621" s="21" t="n"/>
      <c r="E621" s="21" t="n"/>
      <c r="F621" s="21" t="n"/>
      <c r="K621" s="21" t="n"/>
      <c r="L621" s="21" t="n"/>
      <c r="M621" s="21" t="n"/>
      <c r="N621" s="21" t="n"/>
    </row>
    <row r="622">
      <c r="D622" s="21" t="n"/>
      <c r="E622" s="21" t="n"/>
      <c r="F622" s="21" t="n"/>
      <c r="K622" s="21" t="n"/>
      <c r="L622" s="21" t="n"/>
      <c r="M622" s="21" t="n"/>
      <c r="N622" s="21" t="n"/>
    </row>
    <row r="623">
      <c r="D623" s="21" t="n"/>
      <c r="E623" s="21" t="n"/>
      <c r="F623" s="21" t="n"/>
      <c r="K623" s="21" t="n"/>
      <c r="L623" s="21" t="n"/>
      <c r="M623" s="21" t="n"/>
      <c r="N623" s="21" t="n"/>
    </row>
    <row r="624">
      <c r="D624" s="21" t="n"/>
      <c r="E624" s="21" t="n"/>
      <c r="F624" s="21" t="n"/>
      <c r="K624" s="21" t="n"/>
      <c r="L624" s="21" t="n"/>
      <c r="M624" s="21" t="n"/>
      <c r="N624" s="21" t="n"/>
    </row>
    <row r="625">
      <c r="D625" s="21" t="n"/>
      <c r="E625" s="21" t="n"/>
      <c r="F625" s="21" t="n"/>
      <c r="K625" s="21" t="n"/>
      <c r="L625" s="21" t="n"/>
      <c r="M625" s="21" t="n"/>
      <c r="N625" s="21" t="n"/>
    </row>
    <row r="626">
      <c r="D626" s="21" t="n"/>
      <c r="E626" s="21" t="n"/>
      <c r="F626" s="21" t="n"/>
      <c r="K626" s="21" t="n"/>
      <c r="L626" s="21" t="n"/>
      <c r="M626" s="21" t="n"/>
      <c r="N626" s="21" t="n"/>
    </row>
    <row r="627">
      <c r="D627" s="21" t="n"/>
      <c r="E627" s="21" t="n"/>
      <c r="F627" s="21" t="n"/>
      <c r="K627" s="21" t="n"/>
      <c r="L627" s="21" t="n"/>
      <c r="M627" s="21" t="n"/>
      <c r="N627" s="21" t="n"/>
    </row>
    <row r="628">
      <c r="D628" s="21" t="n"/>
      <c r="E628" s="21" t="n"/>
      <c r="F628" s="21" t="n"/>
      <c r="K628" s="21" t="n"/>
      <c r="L628" s="21" t="n"/>
      <c r="M628" s="21" t="n"/>
      <c r="N628" s="21" t="n"/>
    </row>
    <row r="629">
      <c r="D629" s="21" t="n"/>
      <c r="E629" s="21" t="n"/>
      <c r="F629" s="21" t="n"/>
      <c r="K629" s="21" t="n"/>
      <c r="L629" s="21" t="n"/>
      <c r="M629" s="21" t="n"/>
      <c r="N629" s="21" t="n"/>
    </row>
    <row r="630">
      <c r="D630" s="21" t="n"/>
      <c r="E630" s="21" t="n"/>
      <c r="F630" s="21" t="n"/>
      <c r="K630" s="21" t="n"/>
      <c r="L630" s="21" t="n"/>
      <c r="M630" s="21" t="n"/>
      <c r="N630" s="21" t="n"/>
    </row>
    <row r="631">
      <c r="D631" s="21" t="n"/>
      <c r="E631" s="21" t="n"/>
      <c r="F631" s="21" t="n"/>
      <c r="K631" s="21" t="n"/>
      <c r="L631" s="21" t="n"/>
      <c r="M631" s="21" t="n"/>
      <c r="N631" s="21" t="n"/>
    </row>
    <row r="632">
      <c r="D632" s="21" t="n"/>
      <c r="E632" s="21" t="n"/>
      <c r="F632" s="21" t="n"/>
      <c r="K632" s="21" t="n"/>
      <c r="L632" s="21" t="n"/>
      <c r="M632" s="21" t="n"/>
      <c r="N632" s="21" t="n"/>
    </row>
    <row r="633">
      <c r="D633" s="21" t="n"/>
      <c r="E633" s="21" t="n"/>
      <c r="F633" s="21" t="n"/>
      <c r="K633" s="21" t="n"/>
      <c r="L633" s="21" t="n"/>
      <c r="M633" s="21" t="n"/>
      <c r="N633" s="21" t="n"/>
    </row>
    <row r="634">
      <c r="D634" s="21" t="n"/>
      <c r="E634" s="21" t="n"/>
      <c r="F634" s="21" t="n"/>
      <c r="K634" s="21" t="n"/>
      <c r="L634" s="21" t="n"/>
      <c r="M634" s="21" t="n"/>
      <c r="N634" s="21" t="n"/>
    </row>
    <row r="635">
      <c r="D635" s="21" t="n"/>
      <c r="E635" s="21" t="n"/>
      <c r="F635" s="21" t="n"/>
      <c r="K635" s="21" t="n"/>
      <c r="L635" s="21" t="n"/>
      <c r="M635" s="21" t="n"/>
      <c r="N635" s="21" t="n"/>
    </row>
    <row r="636">
      <c r="D636" s="21" t="n"/>
      <c r="E636" s="21" t="n"/>
      <c r="F636" s="21" t="n"/>
      <c r="K636" s="21" t="n"/>
      <c r="L636" s="21" t="n"/>
      <c r="M636" s="21" t="n"/>
      <c r="N636" s="21" t="n"/>
    </row>
    <row r="637">
      <c r="D637" s="21" t="n"/>
      <c r="E637" s="21" t="n"/>
      <c r="F637" s="21" t="n"/>
      <c r="K637" s="21" t="n"/>
      <c r="L637" s="21" t="n"/>
      <c r="M637" s="21" t="n"/>
      <c r="N637" s="21" t="n"/>
    </row>
    <row r="638">
      <c r="D638" s="21" t="n"/>
      <c r="E638" s="21" t="n"/>
      <c r="F638" s="21" t="n"/>
      <c r="K638" s="21" t="n"/>
      <c r="L638" s="21" t="n"/>
      <c r="M638" s="21" t="n"/>
      <c r="N638" s="21" t="n"/>
    </row>
    <row r="639">
      <c r="D639" s="21" t="n"/>
      <c r="E639" s="21" t="n"/>
      <c r="F639" s="21" t="n"/>
      <c r="K639" s="21" t="n"/>
      <c r="L639" s="21" t="n"/>
      <c r="M639" s="21" t="n"/>
      <c r="N639" s="21" t="n"/>
    </row>
    <row r="640">
      <c r="D640" s="21" t="n"/>
      <c r="E640" s="21" t="n"/>
      <c r="F640" s="21" t="n"/>
      <c r="K640" s="21" t="n"/>
      <c r="L640" s="21" t="n"/>
      <c r="M640" s="21" t="n"/>
      <c r="N640" s="21" t="n"/>
    </row>
    <row r="641">
      <c r="D641" s="21" t="n"/>
      <c r="E641" s="21" t="n"/>
      <c r="F641" s="21" t="n"/>
      <c r="K641" s="21" t="n"/>
      <c r="L641" s="21" t="n"/>
      <c r="M641" s="21" t="n"/>
      <c r="N641" s="21" t="n"/>
    </row>
    <row r="642">
      <c r="D642" s="21" t="n"/>
      <c r="E642" s="21" t="n"/>
      <c r="F642" s="21" t="n"/>
      <c r="K642" s="21" t="n"/>
      <c r="L642" s="21" t="n"/>
      <c r="M642" s="21" t="n"/>
      <c r="N642" s="21" t="n"/>
    </row>
    <row r="643">
      <c r="D643" s="21" t="n"/>
      <c r="E643" s="21" t="n"/>
      <c r="F643" s="21" t="n"/>
      <c r="K643" s="21" t="n"/>
      <c r="L643" s="21" t="n"/>
      <c r="M643" s="21" t="n"/>
      <c r="N643" s="21" t="n"/>
    </row>
    <row r="644">
      <c r="D644" s="21" t="n"/>
      <c r="E644" s="21" t="n"/>
      <c r="F644" s="21" t="n"/>
      <c r="K644" s="21" t="n"/>
      <c r="L644" s="21" t="n"/>
      <c r="M644" s="21" t="n"/>
      <c r="N644" s="21" t="n"/>
    </row>
    <row r="645">
      <c r="D645" s="21" t="n"/>
      <c r="E645" s="21" t="n"/>
      <c r="F645" s="21" t="n"/>
      <c r="K645" s="21" t="n"/>
      <c r="L645" s="21" t="n"/>
      <c r="M645" s="21" t="n"/>
      <c r="N645" s="21" t="n"/>
    </row>
    <row r="646">
      <c r="D646" s="21" t="n"/>
      <c r="E646" s="21" t="n"/>
      <c r="F646" s="21" t="n"/>
      <c r="K646" s="21" t="n"/>
      <c r="L646" s="21" t="n"/>
      <c r="M646" s="21" t="n"/>
      <c r="N646" s="21" t="n"/>
    </row>
    <row r="647">
      <c r="D647" s="21" t="n"/>
      <c r="E647" s="21" t="n"/>
      <c r="F647" s="21" t="n"/>
      <c r="K647" s="21" t="n"/>
      <c r="L647" s="21" t="n"/>
      <c r="M647" s="21" t="n"/>
      <c r="N647" s="21" t="n"/>
    </row>
    <row r="648">
      <c r="D648" s="21" t="n"/>
      <c r="E648" s="21" t="n"/>
      <c r="F648" s="21" t="n"/>
      <c r="K648" s="21" t="n"/>
      <c r="L648" s="21" t="n"/>
      <c r="M648" s="21" t="n"/>
      <c r="N648" s="21" t="n"/>
    </row>
    <row r="649">
      <c r="D649" s="21" t="n"/>
      <c r="E649" s="21" t="n"/>
      <c r="F649" s="21" t="n"/>
      <c r="K649" s="21" t="n"/>
      <c r="L649" s="21" t="n"/>
      <c r="M649" s="21" t="n"/>
      <c r="N649" s="21" t="n"/>
    </row>
    <row r="650">
      <c r="D650" s="21" t="n"/>
      <c r="E650" s="21" t="n"/>
      <c r="F650" s="21" t="n"/>
      <c r="K650" s="21" t="n"/>
      <c r="L650" s="21" t="n"/>
      <c r="M650" s="21" t="n"/>
      <c r="N650" s="21" t="n"/>
    </row>
    <row r="651">
      <c r="D651" s="21" t="n"/>
      <c r="E651" s="21" t="n"/>
      <c r="F651" s="21" t="n"/>
      <c r="K651" s="21" t="n"/>
      <c r="L651" s="21" t="n"/>
      <c r="M651" s="21" t="n"/>
      <c r="N651" s="21" t="n"/>
    </row>
    <row r="652">
      <c r="D652" s="21" t="n"/>
      <c r="E652" s="21" t="n"/>
      <c r="F652" s="21" t="n"/>
      <c r="K652" s="21" t="n"/>
      <c r="L652" s="21" t="n"/>
      <c r="M652" s="21" t="n"/>
      <c r="N652" s="21" t="n"/>
    </row>
    <row r="653">
      <c r="D653" s="21" t="n"/>
      <c r="E653" s="21" t="n"/>
      <c r="F653" s="21" t="n"/>
      <c r="K653" s="21" t="n"/>
      <c r="L653" s="21" t="n"/>
      <c r="M653" s="21" t="n"/>
      <c r="N653" s="21" t="n"/>
    </row>
    <row r="654">
      <c r="D654" s="21" t="n"/>
      <c r="E654" s="21" t="n"/>
      <c r="F654" s="21" t="n"/>
      <c r="K654" s="21" t="n"/>
      <c r="L654" s="21" t="n"/>
      <c r="M654" s="21" t="n"/>
      <c r="N654" s="21" t="n"/>
    </row>
    <row r="655">
      <c r="D655" s="21" t="n"/>
      <c r="E655" s="21" t="n"/>
      <c r="F655" s="21" t="n"/>
      <c r="K655" s="21" t="n"/>
      <c r="L655" s="21" t="n"/>
      <c r="M655" s="21" t="n"/>
      <c r="N655" s="21" t="n"/>
    </row>
    <row r="656">
      <c r="D656" s="21" t="n"/>
      <c r="E656" s="21" t="n"/>
      <c r="F656" s="21" t="n"/>
      <c r="K656" s="21" t="n"/>
      <c r="L656" s="21" t="n"/>
      <c r="M656" s="21" t="n"/>
      <c r="N656" s="21" t="n"/>
    </row>
    <row r="657">
      <c r="D657" s="21" t="n"/>
      <c r="E657" s="21" t="n"/>
      <c r="F657" s="21" t="n"/>
      <c r="K657" s="21" t="n"/>
      <c r="L657" s="21" t="n"/>
      <c r="M657" s="21" t="n"/>
      <c r="N657" s="21" t="n"/>
    </row>
    <row r="658">
      <c r="D658" s="21" t="n"/>
      <c r="E658" s="21" t="n"/>
      <c r="F658" s="21" t="n"/>
      <c r="K658" s="21" t="n"/>
      <c r="L658" s="21" t="n"/>
      <c r="M658" s="21" t="n"/>
      <c r="N658" s="21" t="n"/>
    </row>
    <row r="659">
      <c r="D659" s="21" t="n"/>
      <c r="E659" s="21" t="n"/>
      <c r="F659" s="21" t="n"/>
      <c r="K659" s="21" t="n"/>
      <c r="L659" s="21" t="n"/>
      <c r="M659" s="21" t="n"/>
      <c r="N659" s="21" t="n"/>
    </row>
    <row r="660">
      <c r="D660" s="21" t="n"/>
      <c r="E660" s="21" t="n"/>
      <c r="F660" s="21" t="n"/>
      <c r="K660" s="21" t="n"/>
      <c r="L660" s="21" t="n"/>
      <c r="M660" s="21" t="n"/>
      <c r="N660" s="21" t="n"/>
    </row>
    <row r="661">
      <c r="D661" s="21" t="n"/>
      <c r="E661" s="21" t="n"/>
      <c r="F661" s="21" t="n"/>
      <c r="K661" s="21" t="n"/>
      <c r="L661" s="21" t="n"/>
      <c r="M661" s="21" t="n"/>
      <c r="N661" s="21" t="n"/>
    </row>
    <row r="662">
      <c r="D662" s="21" t="n"/>
      <c r="E662" s="21" t="n"/>
      <c r="F662" s="21" t="n"/>
      <c r="K662" s="21" t="n"/>
      <c r="L662" s="21" t="n"/>
      <c r="M662" s="21" t="n"/>
      <c r="N662" s="21" t="n"/>
    </row>
    <row r="663">
      <c r="D663" s="21" t="n"/>
      <c r="E663" s="21" t="n"/>
      <c r="F663" s="21" t="n"/>
      <c r="K663" s="21" t="n"/>
      <c r="L663" s="21" t="n"/>
      <c r="M663" s="21" t="n"/>
      <c r="N663" s="21" t="n"/>
    </row>
    <row r="664">
      <c r="D664" s="21" t="n"/>
      <c r="E664" s="21" t="n"/>
      <c r="F664" s="21" t="n"/>
      <c r="K664" s="21" t="n"/>
      <c r="L664" s="21" t="n"/>
      <c r="M664" s="21" t="n"/>
      <c r="N664" s="21" t="n"/>
    </row>
    <row r="665">
      <c r="D665" s="21" t="n"/>
      <c r="E665" s="21" t="n"/>
      <c r="F665" s="21" t="n"/>
      <c r="K665" s="21" t="n"/>
      <c r="L665" s="21" t="n"/>
      <c r="M665" s="21" t="n"/>
      <c r="N665" s="21" t="n"/>
    </row>
    <row r="666">
      <c r="D666" s="21" t="n"/>
      <c r="E666" s="21" t="n"/>
      <c r="F666" s="21" t="n"/>
      <c r="K666" s="21" t="n"/>
      <c r="L666" s="21" t="n"/>
      <c r="M666" s="21" t="n"/>
      <c r="N666" s="21" t="n"/>
    </row>
    <row r="667">
      <c r="D667" s="21" t="n"/>
      <c r="E667" s="21" t="n"/>
      <c r="F667" s="21" t="n"/>
      <c r="K667" s="21" t="n"/>
      <c r="L667" s="21" t="n"/>
      <c r="M667" s="21" t="n"/>
      <c r="N667" s="21" t="n"/>
    </row>
    <row r="668">
      <c r="D668" s="21" t="n"/>
      <c r="E668" s="21" t="n"/>
      <c r="F668" s="21" t="n"/>
      <c r="K668" s="21" t="n"/>
      <c r="L668" s="21" t="n"/>
      <c r="M668" s="21" t="n"/>
      <c r="N668" s="21" t="n"/>
    </row>
    <row r="669">
      <c r="D669" s="21" t="n"/>
      <c r="E669" s="21" t="n"/>
      <c r="F669" s="21" t="n"/>
      <c r="K669" s="21" t="n"/>
      <c r="L669" s="21" t="n"/>
      <c r="M669" s="21" t="n"/>
      <c r="N669" s="21" t="n"/>
    </row>
    <row r="670">
      <c r="D670" s="21" t="n"/>
      <c r="E670" s="21" t="n"/>
      <c r="F670" s="21" t="n"/>
      <c r="K670" s="21" t="n"/>
      <c r="L670" s="21" t="n"/>
      <c r="M670" s="21" t="n"/>
      <c r="N670" s="21" t="n"/>
    </row>
    <row r="671">
      <c r="D671" s="21" t="n"/>
      <c r="E671" s="21" t="n"/>
      <c r="F671" s="21" t="n"/>
      <c r="K671" s="21" t="n"/>
      <c r="L671" s="21" t="n"/>
      <c r="M671" s="21" t="n"/>
      <c r="N671" s="21" t="n"/>
    </row>
    <row r="672">
      <c r="D672" s="21" t="n"/>
      <c r="E672" s="21" t="n"/>
      <c r="F672" s="21" t="n"/>
      <c r="K672" s="21" t="n"/>
      <c r="L672" s="21" t="n"/>
      <c r="M672" s="21" t="n"/>
      <c r="N672" s="21" t="n"/>
    </row>
    <row r="673">
      <c r="D673" s="21" t="n"/>
      <c r="E673" s="21" t="n"/>
      <c r="F673" s="21" t="n"/>
      <c r="K673" s="21" t="n"/>
      <c r="L673" s="21" t="n"/>
      <c r="M673" s="21" t="n"/>
      <c r="N673" s="21" t="n"/>
    </row>
    <row r="674">
      <c r="D674" s="21" t="n"/>
      <c r="E674" s="21" t="n"/>
      <c r="F674" s="21" t="n"/>
      <c r="K674" s="21" t="n"/>
      <c r="L674" s="21" t="n"/>
      <c r="M674" s="21" t="n"/>
      <c r="N674" s="21" t="n"/>
    </row>
    <row r="675">
      <c r="D675" s="21" t="n"/>
      <c r="E675" s="21" t="n"/>
      <c r="F675" s="21" t="n"/>
      <c r="K675" s="21" t="n"/>
      <c r="L675" s="21" t="n"/>
      <c r="M675" s="21" t="n"/>
      <c r="N675" s="21" t="n"/>
    </row>
    <row r="676">
      <c r="D676" s="21" t="n"/>
      <c r="E676" s="21" t="n"/>
      <c r="F676" s="21" t="n"/>
      <c r="K676" s="21" t="n"/>
      <c r="L676" s="21" t="n"/>
      <c r="M676" s="21" t="n"/>
      <c r="N676" s="21" t="n"/>
    </row>
    <row r="677">
      <c r="D677" s="21" t="n"/>
      <c r="E677" s="21" t="n"/>
      <c r="F677" s="21" t="n"/>
      <c r="K677" s="21" t="n"/>
      <c r="L677" s="21" t="n"/>
      <c r="M677" s="21" t="n"/>
      <c r="N677" s="21" t="n"/>
    </row>
    <row r="678">
      <c r="D678" s="21" t="n"/>
      <c r="E678" s="21" t="n"/>
      <c r="F678" s="21" t="n"/>
      <c r="K678" s="21" t="n"/>
      <c r="L678" s="21" t="n"/>
      <c r="M678" s="21" t="n"/>
      <c r="N678" s="21" t="n"/>
    </row>
    <row r="679">
      <c r="D679" s="21" t="n"/>
      <c r="E679" s="21" t="n"/>
      <c r="F679" s="21" t="n"/>
      <c r="K679" s="21" t="n"/>
      <c r="L679" s="21" t="n"/>
      <c r="M679" s="21" t="n"/>
      <c r="N679" s="21" t="n"/>
    </row>
    <row r="680">
      <c r="D680" s="21" t="n"/>
      <c r="E680" s="21" t="n"/>
      <c r="F680" s="21" t="n"/>
      <c r="K680" s="21" t="n"/>
      <c r="L680" s="21" t="n"/>
      <c r="M680" s="21" t="n"/>
      <c r="N680" s="21" t="n"/>
    </row>
    <row r="681">
      <c r="D681" s="21" t="n"/>
      <c r="E681" s="21" t="n"/>
      <c r="F681" s="21" t="n"/>
      <c r="K681" s="21" t="n"/>
      <c r="L681" s="21" t="n"/>
      <c r="M681" s="21" t="n"/>
      <c r="N681" s="21" t="n"/>
    </row>
    <row r="682">
      <c r="D682" s="21" t="n"/>
      <c r="E682" s="21" t="n"/>
      <c r="F682" s="21" t="n"/>
      <c r="K682" s="21" t="n"/>
      <c r="L682" s="21" t="n"/>
      <c r="M682" s="21" t="n"/>
      <c r="N682" s="21" t="n"/>
    </row>
    <row r="683">
      <c r="D683" s="21" t="n"/>
      <c r="E683" s="21" t="n"/>
      <c r="F683" s="21" t="n"/>
      <c r="K683" s="21" t="n"/>
      <c r="L683" s="21" t="n"/>
      <c r="M683" s="21" t="n"/>
      <c r="N683" s="21" t="n"/>
    </row>
    <row r="684">
      <c r="D684" s="21" t="n"/>
      <c r="E684" s="21" t="n"/>
      <c r="F684" s="21" t="n"/>
      <c r="K684" s="21" t="n"/>
      <c r="L684" s="21" t="n"/>
      <c r="M684" s="21" t="n"/>
      <c r="N684" s="21" t="n"/>
    </row>
    <row r="685">
      <c r="D685" s="21" t="n"/>
      <c r="E685" s="21" t="n"/>
      <c r="F685" s="21" t="n"/>
      <c r="K685" s="21" t="n"/>
      <c r="L685" s="21" t="n"/>
      <c r="M685" s="21" t="n"/>
      <c r="N685" s="21" t="n"/>
    </row>
    <row r="686">
      <c r="D686" s="21" t="n"/>
      <c r="E686" s="21" t="n"/>
      <c r="F686" s="21" t="n"/>
      <c r="K686" s="21" t="n"/>
      <c r="L686" s="21" t="n"/>
      <c r="M686" s="21" t="n"/>
      <c r="N686" s="21" t="n"/>
    </row>
    <row r="687">
      <c r="D687" s="21" t="n"/>
      <c r="E687" s="21" t="n"/>
      <c r="F687" s="21" t="n"/>
      <c r="K687" s="21" t="n"/>
      <c r="L687" s="21" t="n"/>
      <c r="M687" s="21" t="n"/>
      <c r="N687" s="21" t="n"/>
    </row>
    <row r="688">
      <c r="D688" s="21" t="n"/>
      <c r="E688" s="21" t="n"/>
      <c r="F688" s="21" t="n"/>
      <c r="K688" s="21" t="n"/>
      <c r="L688" s="21" t="n"/>
      <c r="M688" s="21" t="n"/>
      <c r="N688" s="21" t="n"/>
    </row>
    <row r="689">
      <c r="D689" s="21" t="n"/>
      <c r="E689" s="21" t="n"/>
      <c r="F689" s="21" t="n"/>
      <c r="K689" s="21" t="n"/>
      <c r="L689" s="21" t="n"/>
      <c r="M689" s="21" t="n"/>
      <c r="N689" s="21" t="n"/>
    </row>
    <row r="690">
      <c r="D690" s="21" t="n"/>
      <c r="E690" s="21" t="n"/>
      <c r="F690" s="21" t="n"/>
      <c r="K690" s="21" t="n"/>
      <c r="L690" s="21" t="n"/>
      <c r="M690" s="21" t="n"/>
      <c r="N690" s="21" t="n"/>
    </row>
    <row r="691">
      <c r="D691" s="21" t="n"/>
      <c r="E691" s="21" t="n"/>
      <c r="F691" s="21" t="n"/>
      <c r="K691" s="21" t="n"/>
      <c r="L691" s="21" t="n"/>
      <c r="M691" s="21" t="n"/>
      <c r="N691" s="21" t="n"/>
    </row>
    <row r="692">
      <c r="D692" s="21" t="n"/>
      <c r="E692" s="21" t="n"/>
      <c r="F692" s="21" t="n"/>
      <c r="K692" s="21" t="n"/>
      <c r="L692" s="21" t="n"/>
      <c r="M692" s="21" t="n"/>
      <c r="N692" s="21" t="n"/>
    </row>
    <row r="693">
      <c r="D693" s="21" t="n"/>
      <c r="E693" s="21" t="n"/>
      <c r="F693" s="21" t="n"/>
      <c r="K693" s="21" t="n"/>
      <c r="L693" s="21" t="n"/>
      <c r="M693" s="21" t="n"/>
      <c r="N693" s="21" t="n"/>
    </row>
    <row r="694">
      <c r="D694" s="21" t="n"/>
      <c r="E694" s="21" t="n"/>
      <c r="F694" s="21" t="n"/>
      <c r="K694" s="21" t="n"/>
      <c r="L694" s="21" t="n"/>
      <c r="M694" s="21" t="n"/>
      <c r="N694" s="21" t="n"/>
    </row>
    <row r="695">
      <c r="D695" s="21" t="n"/>
      <c r="E695" s="21" t="n"/>
      <c r="F695" s="21" t="n"/>
      <c r="K695" s="21" t="n"/>
      <c r="L695" s="21" t="n"/>
      <c r="M695" s="21" t="n"/>
      <c r="N695" s="21" t="n"/>
    </row>
    <row r="696">
      <c r="D696" s="21" t="n"/>
      <c r="E696" s="21" t="n"/>
      <c r="F696" s="21" t="n"/>
      <c r="K696" s="21" t="n"/>
      <c r="L696" s="21" t="n"/>
      <c r="M696" s="21" t="n"/>
      <c r="N696" s="21" t="n"/>
    </row>
    <row r="697">
      <c r="D697" s="21" t="n"/>
      <c r="E697" s="21" t="n"/>
      <c r="F697" s="21" t="n"/>
      <c r="K697" s="21" t="n"/>
      <c r="L697" s="21" t="n"/>
      <c r="M697" s="21" t="n"/>
      <c r="N697" s="21" t="n"/>
    </row>
    <row r="698">
      <c r="D698" s="21" t="n"/>
      <c r="E698" s="21" t="n"/>
      <c r="F698" s="21" t="n"/>
      <c r="K698" s="21" t="n"/>
      <c r="L698" s="21" t="n"/>
      <c r="M698" s="21" t="n"/>
      <c r="N698" s="21" t="n"/>
    </row>
    <row r="699">
      <c r="D699" s="21" t="n"/>
      <c r="E699" s="21" t="n"/>
      <c r="F699" s="21" t="n"/>
      <c r="K699" s="21" t="n"/>
      <c r="L699" s="21" t="n"/>
      <c r="M699" s="21" t="n"/>
      <c r="N699" s="21" t="n"/>
    </row>
    <row r="700">
      <c r="D700" s="21" t="n"/>
      <c r="E700" s="21" t="n"/>
      <c r="F700" s="21" t="n"/>
      <c r="K700" s="21" t="n"/>
      <c r="L700" s="21" t="n"/>
      <c r="M700" s="21" t="n"/>
      <c r="N700" s="21" t="n"/>
    </row>
    <row r="701">
      <c r="D701" s="21" t="n"/>
      <c r="E701" s="21" t="n"/>
      <c r="F701" s="21" t="n"/>
      <c r="K701" s="21" t="n"/>
      <c r="L701" s="21" t="n"/>
      <c r="M701" s="21" t="n"/>
      <c r="N701" s="21" t="n"/>
    </row>
    <row r="702">
      <c r="D702" s="21" t="n"/>
      <c r="E702" s="21" t="n"/>
      <c r="F702" s="21" t="n"/>
      <c r="K702" s="21" t="n"/>
      <c r="L702" s="21" t="n"/>
      <c r="M702" s="21" t="n"/>
      <c r="N702" s="21" t="n"/>
    </row>
    <row r="703">
      <c r="D703" s="21" t="n"/>
      <c r="E703" s="21" t="n"/>
      <c r="F703" s="21" t="n"/>
      <c r="K703" s="21" t="n"/>
      <c r="L703" s="21" t="n"/>
      <c r="M703" s="21" t="n"/>
      <c r="N703" s="21" t="n"/>
    </row>
    <row r="704">
      <c r="D704" s="21" t="n"/>
      <c r="E704" s="21" t="n"/>
      <c r="F704" s="21" t="n"/>
      <c r="K704" s="21" t="n"/>
      <c r="L704" s="21" t="n"/>
      <c r="M704" s="21" t="n"/>
      <c r="N704" s="21" t="n"/>
    </row>
    <row r="705">
      <c r="D705" s="21" t="n"/>
      <c r="E705" s="21" t="n"/>
      <c r="F705" s="21" t="n"/>
      <c r="K705" s="21" t="n"/>
      <c r="L705" s="21" t="n"/>
      <c r="M705" s="21" t="n"/>
      <c r="N705" s="21" t="n"/>
    </row>
    <row r="706">
      <c r="D706" s="21" t="n"/>
      <c r="E706" s="21" t="n"/>
      <c r="F706" s="21" t="n"/>
      <c r="K706" s="21" t="n"/>
      <c r="L706" s="21" t="n"/>
      <c r="M706" s="21" t="n"/>
      <c r="N706" s="21" t="n"/>
    </row>
    <row r="707">
      <c r="D707" s="21" t="n"/>
      <c r="E707" s="21" t="n"/>
      <c r="F707" s="21" t="n"/>
      <c r="K707" s="21" t="n"/>
      <c r="L707" s="21" t="n"/>
      <c r="M707" s="21" t="n"/>
      <c r="N707" s="21" t="n"/>
    </row>
    <row r="708">
      <c r="D708" s="21" t="n"/>
      <c r="E708" s="21" t="n"/>
      <c r="F708" s="21" t="n"/>
      <c r="K708" s="21" t="n"/>
      <c r="L708" s="21" t="n"/>
      <c r="M708" s="21" t="n"/>
      <c r="N708" s="21" t="n"/>
    </row>
    <row r="709">
      <c r="D709" s="21" t="n"/>
      <c r="E709" s="21" t="n"/>
      <c r="F709" s="21" t="n"/>
      <c r="K709" s="21" t="n"/>
      <c r="L709" s="21" t="n"/>
      <c r="M709" s="21" t="n"/>
      <c r="N709" s="21" t="n"/>
    </row>
    <row r="710">
      <c r="D710" s="21" t="n"/>
      <c r="E710" s="21" t="n"/>
      <c r="F710" s="21" t="n"/>
      <c r="K710" s="21" t="n"/>
      <c r="L710" s="21" t="n"/>
      <c r="M710" s="21" t="n"/>
      <c r="N710" s="21" t="n"/>
    </row>
    <row r="711">
      <c r="D711" s="21" t="n"/>
      <c r="E711" s="21" t="n"/>
      <c r="F711" s="21" t="n"/>
      <c r="K711" s="21" t="n"/>
      <c r="L711" s="21" t="n"/>
      <c r="M711" s="21" t="n"/>
      <c r="N711" s="21" t="n"/>
    </row>
    <row r="712">
      <c r="D712" s="21" t="n"/>
      <c r="E712" s="21" t="n"/>
      <c r="F712" s="21" t="n"/>
      <c r="K712" s="21" t="n"/>
      <c r="L712" s="21" t="n"/>
      <c r="M712" s="21" t="n"/>
      <c r="N712" s="21" t="n"/>
    </row>
    <row r="713">
      <c r="D713" s="21" t="n"/>
      <c r="E713" s="21" t="n"/>
      <c r="F713" s="21" t="n"/>
      <c r="K713" s="21" t="n"/>
      <c r="L713" s="21" t="n"/>
      <c r="M713" s="21" t="n"/>
      <c r="N713" s="21" t="n"/>
    </row>
    <row r="714">
      <c r="D714" s="21" t="n"/>
      <c r="E714" s="21" t="n"/>
      <c r="F714" s="21" t="n"/>
      <c r="K714" s="21" t="n"/>
      <c r="L714" s="21" t="n"/>
      <c r="M714" s="21" t="n"/>
      <c r="N714" s="21" t="n"/>
    </row>
    <row r="715">
      <c r="D715" s="21" t="n"/>
      <c r="E715" s="21" t="n"/>
      <c r="F715" s="21" t="n"/>
      <c r="K715" s="21" t="n"/>
      <c r="L715" s="21" t="n"/>
      <c r="M715" s="21" t="n"/>
      <c r="N715" s="21" t="n"/>
    </row>
    <row r="716">
      <c r="D716" s="21" t="n"/>
      <c r="E716" s="21" t="n"/>
      <c r="F716" s="21" t="n"/>
      <c r="K716" s="21" t="n"/>
      <c r="L716" s="21" t="n"/>
      <c r="M716" s="21" t="n"/>
      <c r="N716" s="21" t="n"/>
    </row>
    <row r="717">
      <c r="D717" s="21" t="n"/>
      <c r="E717" s="21" t="n"/>
      <c r="F717" s="21" t="n"/>
      <c r="K717" s="21" t="n"/>
      <c r="L717" s="21" t="n"/>
      <c r="M717" s="21" t="n"/>
      <c r="N717" s="21" t="n"/>
    </row>
    <row r="718">
      <c r="D718" s="21" t="n"/>
      <c r="E718" s="21" t="n"/>
      <c r="F718" s="21" t="n"/>
      <c r="K718" s="21" t="n"/>
      <c r="L718" s="21" t="n"/>
      <c r="M718" s="21" t="n"/>
      <c r="N718" s="21" t="n"/>
    </row>
    <row r="719">
      <c r="D719" s="21" t="n"/>
      <c r="E719" s="21" t="n"/>
      <c r="F719" s="21" t="n"/>
      <c r="K719" s="21" t="n"/>
      <c r="L719" s="21" t="n"/>
      <c r="M719" s="21" t="n"/>
      <c r="N719" s="21" t="n"/>
    </row>
    <row r="720">
      <c r="D720" s="21" t="n"/>
      <c r="E720" s="21" t="n"/>
      <c r="F720" s="21" t="n"/>
      <c r="K720" s="21" t="n"/>
      <c r="L720" s="21" t="n"/>
      <c r="M720" s="21" t="n"/>
      <c r="N720" s="21" t="n"/>
    </row>
    <row r="721">
      <c r="D721" s="21" t="n"/>
      <c r="E721" s="21" t="n"/>
      <c r="F721" s="21" t="n"/>
      <c r="K721" s="21" t="n"/>
      <c r="L721" s="21" t="n"/>
      <c r="M721" s="21" t="n"/>
      <c r="N721" s="21" t="n"/>
    </row>
    <row r="722">
      <c r="D722" s="21" t="n"/>
      <c r="E722" s="21" t="n"/>
      <c r="F722" s="21" t="n"/>
      <c r="K722" s="21" t="n"/>
      <c r="L722" s="21" t="n"/>
      <c r="M722" s="21" t="n"/>
      <c r="N722" s="21" t="n"/>
    </row>
    <row r="723">
      <c r="D723" s="21" t="n"/>
      <c r="E723" s="21" t="n"/>
      <c r="F723" s="21" t="n"/>
      <c r="K723" s="21" t="n"/>
      <c r="L723" s="21" t="n"/>
      <c r="M723" s="21" t="n"/>
      <c r="N723" s="21" t="n"/>
    </row>
    <row r="724">
      <c r="D724" s="21" t="n"/>
      <c r="E724" s="21" t="n"/>
      <c r="F724" s="21" t="n"/>
      <c r="K724" s="21" t="n"/>
      <c r="L724" s="21" t="n"/>
      <c r="M724" s="21" t="n"/>
      <c r="N724" s="21" t="n"/>
    </row>
    <row r="725">
      <c r="D725" s="21" t="n"/>
      <c r="E725" s="21" t="n"/>
      <c r="F725" s="21" t="n"/>
      <c r="K725" s="21" t="n"/>
      <c r="L725" s="21" t="n"/>
      <c r="M725" s="21" t="n"/>
      <c r="N725" s="21" t="n"/>
    </row>
    <row r="726">
      <c r="D726" s="21" t="n"/>
      <c r="E726" s="21" t="n"/>
      <c r="F726" s="21" t="n"/>
      <c r="K726" s="21" t="n"/>
      <c r="L726" s="21" t="n"/>
      <c r="M726" s="21" t="n"/>
      <c r="N726" s="21" t="n"/>
    </row>
    <row r="727">
      <c r="D727" s="21" t="n"/>
      <c r="E727" s="21" t="n"/>
      <c r="F727" s="21" t="n"/>
      <c r="K727" s="21" t="n"/>
      <c r="L727" s="21" t="n"/>
      <c r="M727" s="21" t="n"/>
      <c r="N727" s="21" t="n"/>
    </row>
    <row r="728">
      <c r="D728" s="21" t="n"/>
      <c r="E728" s="21" t="n"/>
      <c r="F728" s="21" t="n"/>
      <c r="K728" s="21" t="n"/>
      <c r="L728" s="21" t="n"/>
      <c r="M728" s="21" t="n"/>
      <c r="N728" s="21" t="n"/>
    </row>
    <row r="729">
      <c r="D729" s="21" t="n"/>
      <c r="E729" s="21" t="n"/>
      <c r="F729" s="21" t="n"/>
      <c r="K729" s="21" t="n"/>
      <c r="L729" s="21" t="n"/>
      <c r="M729" s="21" t="n"/>
      <c r="N729" s="21" t="n"/>
    </row>
    <row r="730">
      <c r="D730" s="21" t="n"/>
      <c r="E730" s="21" t="n"/>
      <c r="F730" s="21" t="n"/>
      <c r="K730" s="21" t="n"/>
      <c r="L730" s="21" t="n"/>
      <c r="M730" s="21" t="n"/>
      <c r="N730" s="21" t="n"/>
    </row>
    <row r="731">
      <c r="D731" s="21" t="n"/>
      <c r="E731" s="21" t="n"/>
      <c r="F731" s="21" t="n"/>
      <c r="K731" s="21" t="n"/>
      <c r="L731" s="21" t="n"/>
      <c r="M731" s="21" t="n"/>
      <c r="N731" s="21" t="n"/>
    </row>
    <row r="732">
      <c r="D732" s="21" t="n"/>
      <c r="E732" s="21" t="n"/>
      <c r="F732" s="21" t="n"/>
      <c r="K732" s="21" t="n"/>
      <c r="L732" s="21" t="n"/>
      <c r="M732" s="21" t="n"/>
      <c r="N732" s="21" t="n"/>
    </row>
    <row r="733">
      <c r="D733" s="21" t="n"/>
      <c r="E733" s="21" t="n"/>
      <c r="F733" s="21" t="n"/>
      <c r="K733" s="21" t="n"/>
      <c r="L733" s="21" t="n"/>
      <c r="M733" s="21" t="n"/>
      <c r="N733" s="21" t="n"/>
    </row>
    <row r="734">
      <c r="D734" s="21" t="n"/>
      <c r="E734" s="21" t="n"/>
      <c r="F734" s="21" t="n"/>
      <c r="K734" s="21" t="n"/>
      <c r="L734" s="21" t="n"/>
      <c r="M734" s="21" t="n"/>
      <c r="N734" s="21" t="n"/>
    </row>
    <row r="735">
      <c r="D735" s="21" t="n"/>
      <c r="E735" s="21" t="n"/>
      <c r="F735" s="21" t="n"/>
      <c r="K735" s="21" t="n"/>
      <c r="L735" s="21" t="n"/>
      <c r="M735" s="21" t="n"/>
      <c r="N735" s="21" t="n"/>
    </row>
    <row r="736">
      <c r="D736" s="21" t="n"/>
      <c r="E736" s="21" t="n"/>
      <c r="F736" s="21" t="n"/>
      <c r="K736" s="21" t="n"/>
      <c r="L736" s="21" t="n"/>
      <c r="M736" s="21" t="n"/>
      <c r="N736" s="21" t="n"/>
    </row>
    <row r="737">
      <c r="D737" s="21" t="n"/>
      <c r="E737" s="21" t="n"/>
      <c r="F737" s="21" t="n"/>
      <c r="K737" s="21" t="n"/>
      <c r="L737" s="21" t="n"/>
      <c r="M737" s="21" t="n"/>
      <c r="N737" s="21" t="n"/>
    </row>
    <row r="738">
      <c r="D738" s="21" t="n"/>
      <c r="E738" s="21" t="n"/>
      <c r="F738" s="21" t="n"/>
      <c r="K738" s="21" t="n"/>
      <c r="L738" s="21" t="n"/>
      <c r="M738" s="21" t="n"/>
      <c r="N738" s="21" t="n"/>
    </row>
    <row r="739">
      <c r="D739" s="21" t="n"/>
      <c r="E739" s="21" t="n"/>
      <c r="F739" s="21" t="n"/>
      <c r="K739" s="21" t="n"/>
      <c r="L739" s="21" t="n"/>
      <c r="M739" s="21" t="n"/>
      <c r="N739" s="21" t="n"/>
    </row>
    <row r="740">
      <c r="D740" s="21" t="n"/>
      <c r="E740" s="21" t="n"/>
      <c r="F740" s="21" t="n"/>
      <c r="K740" s="21" t="n"/>
      <c r="L740" s="21" t="n"/>
      <c r="M740" s="21" t="n"/>
      <c r="N740" s="21" t="n"/>
    </row>
    <row r="741">
      <c r="D741" s="21" t="n"/>
      <c r="E741" s="21" t="n"/>
      <c r="F741" s="21" t="n"/>
      <c r="K741" s="21" t="n"/>
      <c r="L741" s="21" t="n"/>
      <c r="M741" s="21" t="n"/>
      <c r="N741" s="21" t="n"/>
    </row>
    <row r="742">
      <c r="D742" s="21" t="n"/>
      <c r="E742" s="21" t="n"/>
      <c r="F742" s="21" t="n"/>
      <c r="K742" s="21" t="n"/>
      <c r="L742" s="21" t="n"/>
      <c r="M742" s="21" t="n"/>
      <c r="N742" s="21" t="n"/>
    </row>
    <row r="743">
      <c r="D743" s="21" t="n"/>
      <c r="E743" s="21" t="n"/>
      <c r="F743" s="21" t="n"/>
      <c r="K743" s="21" t="n"/>
      <c r="L743" s="21" t="n"/>
      <c r="M743" s="21" t="n"/>
      <c r="N743" s="21" t="n"/>
    </row>
    <row r="744">
      <c r="D744" s="21" t="n"/>
      <c r="E744" s="21" t="n"/>
      <c r="F744" s="21" t="n"/>
      <c r="K744" s="21" t="n"/>
      <c r="L744" s="21" t="n"/>
      <c r="M744" s="21" t="n"/>
      <c r="N744" s="21" t="n"/>
    </row>
    <row r="745">
      <c r="D745" s="21" t="n"/>
      <c r="E745" s="21" t="n"/>
      <c r="F745" s="21" t="n"/>
      <c r="K745" s="21" t="n"/>
      <c r="L745" s="21" t="n"/>
      <c r="M745" s="21" t="n"/>
      <c r="N745" s="21" t="n"/>
    </row>
    <row r="746">
      <c r="D746" s="21" t="n"/>
      <c r="E746" s="21" t="n"/>
      <c r="F746" s="21" t="n"/>
      <c r="K746" s="21" t="n"/>
      <c r="L746" s="21" t="n"/>
      <c r="M746" s="21" t="n"/>
      <c r="N746" s="21" t="n"/>
    </row>
    <row r="747">
      <c r="D747" s="21" t="n"/>
      <c r="E747" s="21" t="n"/>
      <c r="F747" s="21" t="n"/>
      <c r="K747" s="21" t="n"/>
      <c r="L747" s="21" t="n"/>
      <c r="M747" s="21" t="n"/>
      <c r="N747" s="21" t="n"/>
    </row>
    <row r="748">
      <c r="D748" s="21" t="n"/>
      <c r="E748" s="21" t="n"/>
      <c r="F748" s="21" t="n"/>
      <c r="K748" s="21" t="n"/>
      <c r="L748" s="21" t="n"/>
      <c r="M748" s="21" t="n"/>
      <c r="N748" s="21" t="n"/>
    </row>
    <row r="749">
      <c r="D749" s="21" t="n"/>
      <c r="E749" s="21" t="n"/>
      <c r="F749" s="21" t="n"/>
      <c r="K749" s="21" t="n"/>
      <c r="L749" s="21" t="n"/>
      <c r="M749" s="21" t="n"/>
      <c r="N749" s="21" t="n"/>
    </row>
    <row r="750">
      <c r="D750" s="21" t="n"/>
      <c r="E750" s="21" t="n"/>
      <c r="F750" s="21" t="n"/>
      <c r="K750" s="21" t="n"/>
      <c r="L750" s="21" t="n"/>
      <c r="M750" s="21" t="n"/>
      <c r="N750" s="21" t="n"/>
    </row>
    <row r="751">
      <c r="D751" s="21" t="n"/>
      <c r="E751" s="21" t="n"/>
      <c r="F751" s="21" t="n"/>
      <c r="K751" s="21" t="n"/>
      <c r="L751" s="21" t="n"/>
      <c r="M751" s="21" t="n"/>
      <c r="N751" s="21" t="n"/>
    </row>
    <row r="752">
      <c r="D752" s="21" t="n"/>
      <c r="E752" s="21" t="n"/>
      <c r="F752" s="21" t="n"/>
      <c r="K752" s="21" t="n"/>
      <c r="L752" s="21" t="n"/>
      <c r="M752" s="21" t="n"/>
      <c r="N752" s="21" t="n"/>
    </row>
    <row r="753">
      <c r="D753" s="21" t="n"/>
      <c r="E753" s="21" t="n"/>
      <c r="F753" s="21" t="n"/>
      <c r="K753" s="21" t="n"/>
      <c r="L753" s="21" t="n"/>
      <c r="M753" s="21" t="n"/>
      <c r="N753" s="21" t="n"/>
    </row>
    <row r="754">
      <c r="D754" s="21" t="n"/>
      <c r="E754" s="21" t="n"/>
      <c r="F754" s="21" t="n"/>
      <c r="K754" s="21" t="n"/>
      <c r="L754" s="21" t="n"/>
      <c r="M754" s="21" t="n"/>
      <c r="N754" s="21" t="n"/>
    </row>
    <row r="755">
      <c r="D755" s="21" t="n"/>
      <c r="E755" s="21" t="n"/>
      <c r="F755" s="21" t="n"/>
      <c r="K755" s="21" t="n"/>
      <c r="L755" s="21" t="n"/>
      <c r="M755" s="21" t="n"/>
      <c r="N755" s="21" t="n"/>
    </row>
    <row r="756">
      <c r="D756" s="21" t="n"/>
      <c r="E756" s="21" t="n"/>
      <c r="F756" s="21" t="n"/>
      <c r="K756" s="21" t="n"/>
      <c r="L756" s="21" t="n"/>
      <c r="M756" s="21" t="n"/>
      <c r="N756" s="21" t="n"/>
    </row>
    <row r="757">
      <c r="D757" s="21" t="n"/>
      <c r="E757" s="21" t="n"/>
      <c r="F757" s="21" t="n"/>
      <c r="K757" s="21" t="n"/>
      <c r="L757" s="21" t="n"/>
      <c r="M757" s="21" t="n"/>
      <c r="N757" s="21" t="n"/>
    </row>
    <row r="758">
      <c r="D758" s="21" t="n"/>
      <c r="E758" s="21" t="n"/>
      <c r="F758" s="21" t="n"/>
      <c r="K758" s="21" t="n"/>
      <c r="L758" s="21" t="n"/>
      <c r="M758" s="21" t="n"/>
      <c r="N758" s="21" t="n"/>
    </row>
    <row r="759">
      <c r="D759" s="21" t="n"/>
      <c r="E759" s="21" t="n"/>
      <c r="F759" s="21" t="n"/>
      <c r="K759" s="21" t="n"/>
      <c r="L759" s="21" t="n"/>
      <c r="M759" s="21" t="n"/>
      <c r="N759" s="21" t="n"/>
    </row>
    <row r="760">
      <c r="D760" s="21" t="n"/>
      <c r="E760" s="21" t="n"/>
      <c r="F760" s="21" t="n"/>
      <c r="K760" s="21" t="n"/>
      <c r="L760" s="21" t="n"/>
      <c r="M760" s="21" t="n"/>
      <c r="N760" s="21" t="n"/>
    </row>
    <row r="761">
      <c r="D761" s="21" t="n"/>
      <c r="E761" s="21" t="n"/>
      <c r="F761" s="21" t="n"/>
      <c r="K761" s="21" t="n"/>
      <c r="L761" s="21" t="n"/>
      <c r="M761" s="21" t="n"/>
      <c r="N761" s="21" t="n"/>
    </row>
    <row r="762">
      <c r="D762" s="21" t="n"/>
      <c r="E762" s="21" t="n"/>
      <c r="F762" s="21" t="n"/>
      <c r="K762" s="21" t="n"/>
      <c r="L762" s="21" t="n"/>
      <c r="M762" s="21" t="n"/>
      <c r="N762" s="21" t="n"/>
    </row>
    <row r="763">
      <c r="D763" s="21" t="n"/>
      <c r="E763" s="21" t="n"/>
      <c r="F763" s="21" t="n"/>
      <c r="K763" s="21" t="n"/>
      <c r="L763" s="21" t="n"/>
      <c r="M763" s="21" t="n"/>
      <c r="N763" s="21" t="n"/>
    </row>
    <row r="764">
      <c r="D764" s="21" t="n"/>
      <c r="E764" s="21" t="n"/>
      <c r="F764" s="21" t="n"/>
      <c r="K764" s="21" t="n"/>
      <c r="L764" s="21" t="n"/>
      <c r="M764" s="21" t="n"/>
      <c r="N764" s="21" t="n"/>
    </row>
    <row r="765">
      <c r="D765" s="21" t="n"/>
      <c r="E765" s="21" t="n"/>
      <c r="F765" s="21" t="n"/>
      <c r="K765" s="21" t="n"/>
      <c r="L765" s="21" t="n"/>
      <c r="M765" s="21" t="n"/>
      <c r="N765" s="21" t="n"/>
    </row>
    <row r="766">
      <c r="D766" s="21" t="n"/>
      <c r="E766" s="21" t="n"/>
      <c r="F766" s="21" t="n"/>
      <c r="K766" s="21" t="n"/>
      <c r="L766" s="21" t="n"/>
      <c r="M766" s="21" t="n"/>
      <c r="N766" s="21" t="n"/>
    </row>
    <row r="767">
      <c r="D767" s="21" t="n"/>
      <c r="E767" s="21" t="n"/>
      <c r="F767" s="21" t="n"/>
      <c r="K767" s="21" t="n"/>
      <c r="L767" s="21" t="n"/>
      <c r="M767" s="21" t="n"/>
      <c r="N767" s="21" t="n"/>
    </row>
    <row r="768">
      <c r="D768" s="21" t="n"/>
      <c r="E768" s="21" t="n"/>
      <c r="F768" s="21" t="n"/>
      <c r="K768" s="21" t="n"/>
      <c r="L768" s="21" t="n"/>
      <c r="M768" s="21" t="n"/>
      <c r="N768" s="21" t="n"/>
    </row>
    <row r="769">
      <c r="D769" s="21" t="n"/>
      <c r="E769" s="21" t="n"/>
      <c r="F769" s="21" t="n"/>
      <c r="K769" s="21" t="n"/>
      <c r="L769" s="21" t="n"/>
      <c r="M769" s="21" t="n"/>
      <c r="N769" s="21" t="n"/>
    </row>
    <row r="770">
      <c r="D770" s="21" t="n"/>
      <c r="E770" s="21" t="n"/>
      <c r="F770" s="21" t="n"/>
      <c r="K770" s="21" t="n"/>
      <c r="L770" s="21" t="n"/>
      <c r="M770" s="21" t="n"/>
      <c r="N770" s="21" t="n"/>
    </row>
    <row r="771">
      <c r="D771" s="21" t="n"/>
      <c r="E771" s="21" t="n"/>
      <c r="F771" s="21" t="n"/>
      <c r="K771" s="21" t="n"/>
      <c r="L771" s="21" t="n"/>
      <c r="M771" s="21" t="n"/>
      <c r="N771" s="21" t="n"/>
    </row>
    <row r="772">
      <c r="D772" s="21" t="n"/>
      <c r="E772" s="21" t="n"/>
      <c r="F772" s="21" t="n"/>
      <c r="K772" s="21" t="n"/>
      <c r="L772" s="21" t="n"/>
      <c r="M772" s="21" t="n"/>
      <c r="N772" s="21" t="n"/>
    </row>
    <row r="773">
      <c r="D773" s="21" t="n"/>
      <c r="E773" s="21" t="n"/>
      <c r="F773" s="21" t="n"/>
      <c r="K773" s="21" t="n"/>
      <c r="L773" s="21" t="n"/>
      <c r="M773" s="21" t="n"/>
      <c r="N773" s="21" t="n"/>
    </row>
    <row r="774">
      <c r="D774" s="21" t="n"/>
      <c r="E774" s="21" t="n"/>
      <c r="F774" s="21" t="n"/>
      <c r="K774" s="21" t="n"/>
      <c r="L774" s="21" t="n"/>
      <c r="M774" s="21" t="n"/>
      <c r="N774" s="21" t="n"/>
    </row>
    <row r="775">
      <c r="D775" s="21" t="n"/>
      <c r="E775" s="21" t="n"/>
      <c r="F775" s="21" t="n"/>
      <c r="K775" s="21" t="n"/>
      <c r="L775" s="21" t="n"/>
      <c r="M775" s="21" t="n"/>
      <c r="N775" s="21" t="n"/>
    </row>
    <row r="776">
      <c r="D776" s="21" t="n"/>
      <c r="E776" s="21" t="n"/>
      <c r="F776" s="21" t="n"/>
      <c r="K776" s="21" t="n"/>
      <c r="L776" s="21" t="n"/>
      <c r="M776" s="21" t="n"/>
      <c r="N776" s="21" t="n"/>
    </row>
    <row r="777">
      <c r="D777" s="21" t="n"/>
      <c r="E777" s="21" t="n"/>
      <c r="F777" s="21" t="n"/>
      <c r="K777" s="21" t="n"/>
      <c r="L777" s="21" t="n"/>
      <c r="M777" s="21" t="n"/>
      <c r="N777" s="21" t="n"/>
    </row>
    <row r="778">
      <c r="D778" s="21" t="n"/>
      <c r="E778" s="21" t="n"/>
      <c r="F778" s="21" t="n"/>
      <c r="K778" s="21" t="n"/>
      <c r="L778" s="21" t="n"/>
      <c r="M778" s="21" t="n"/>
      <c r="N778" s="21" t="n"/>
    </row>
    <row r="779">
      <c r="D779" s="21" t="n"/>
      <c r="E779" s="21" t="n"/>
      <c r="F779" s="21" t="n"/>
      <c r="K779" s="21" t="n"/>
      <c r="L779" s="21" t="n"/>
      <c r="M779" s="21" t="n"/>
      <c r="N779" s="21" t="n"/>
    </row>
    <row r="780">
      <c r="D780" s="21" t="n"/>
      <c r="E780" s="21" t="n"/>
      <c r="F780" s="21" t="n"/>
      <c r="K780" s="21" t="n"/>
      <c r="L780" s="21" t="n"/>
      <c r="M780" s="21" t="n"/>
      <c r="N780" s="21" t="n"/>
    </row>
    <row r="781">
      <c r="D781" s="21" t="n"/>
      <c r="E781" s="21" t="n"/>
      <c r="F781" s="21" t="n"/>
      <c r="K781" s="21" t="n"/>
      <c r="L781" s="21" t="n"/>
      <c r="M781" s="21" t="n"/>
      <c r="N781" s="21" t="n"/>
    </row>
    <row r="782">
      <c r="D782" s="21" t="n"/>
      <c r="E782" s="21" t="n"/>
      <c r="F782" s="21" t="n"/>
      <c r="K782" s="21" t="n"/>
      <c r="L782" s="21" t="n"/>
      <c r="M782" s="21" t="n"/>
      <c r="N782" s="21" t="n"/>
    </row>
    <row r="783">
      <c r="D783" s="21" t="n"/>
      <c r="E783" s="21" t="n"/>
      <c r="F783" s="21" t="n"/>
      <c r="K783" s="21" t="n"/>
      <c r="L783" s="21" t="n"/>
      <c r="M783" s="21" t="n"/>
      <c r="N783" s="21" t="n"/>
    </row>
    <row r="784">
      <c r="D784" s="21" t="n"/>
      <c r="E784" s="21" t="n"/>
      <c r="F784" s="21" t="n"/>
      <c r="K784" s="21" t="n"/>
      <c r="L784" s="21" t="n"/>
      <c r="M784" s="21" t="n"/>
      <c r="N784" s="21" t="n"/>
    </row>
    <row r="785">
      <c r="D785" s="21" t="n"/>
      <c r="E785" s="21" t="n"/>
      <c r="F785" s="21" t="n"/>
      <c r="K785" s="21" t="n"/>
      <c r="L785" s="21" t="n"/>
      <c r="M785" s="21" t="n"/>
      <c r="N785" s="21" t="n"/>
    </row>
    <row r="786">
      <c r="D786" s="21" t="n"/>
      <c r="E786" s="21" t="n"/>
      <c r="F786" s="21" t="n"/>
      <c r="K786" s="21" t="n"/>
      <c r="L786" s="21" t="n"/>
      <c r="M786" s="21" t="n"/>
      <c r="N786" s="21" t="n"/>
    </row>
    <row r="787">
      <c r="D787" s="21" t="n"/>
      <c r="E787" s="21" t="n"/>
      <c r="F787" s="21" t="n"/>
      <c r="K787" s="21" t="n"/>
      <c r="L787" s="21" t="n"/>
      <c r="M787" s="21" t="n"/>
      <c r="N787" s="21" t="n"/>
    </row>
    <row r="788">
      <c r="D788" s="21" t="n"/>
      <c r="E788" s="21" t="n"/>
      <c r="F788" s="21" t="n"/>
      <c r="K788" s="21" t="n"/>
      <c r="L788" s="21" t="n"/>
      <c r="M788" s="21" t="n"/>
      <c r="N788" s="21" t="n"/>
    </row>
    <row r="789">
      <c r="D789" s="21" t="n"/>
      <c r="E789" s="21" t="n"/>
      <c r="F789" s="21" t="n"/>
      <c r="K789" s="21" t="n"/>
      <c r="L789" s="21" t="n"/>
      <c r="M789" s="21" t="n"/>
      <c r="N789" s="21" t="n"/>
    </row>
    <row r="790">
      <c r="D790" s="21" t="n"/>
      <c r="E790" s="21" t="n"/>
      <c r="F790" s="21" t="n"/>
      <c r="K790" s="21" t="n"/>
      <c r="L790" s="21" t="n"/>
      <c r="M790" s="21" t="n"/>
      <c r="N790" s="21" t="n"/>
    </row>
    <row r="791">
      <c r="D791" s="21" t="n"/>
      <c r="E791" s="21" t="n"/>
      <c r="F791" s="21" t="n"/>
      <c r="K791" s="21" t="n"/>
      <c r="L791" s="21" t="n"/>
      <c r="M791" s="21" t="n"/>
      <c r="N791" s="21" t="n"/>
    </row>
    <row r="792">
      <c r="D792" s="21" t="n"/>
      <c r="E792" s="21" t="n"/>
      <c r="F792" s="21" t="n"/>
      <c r="K792" s="21" t="n"/>
      <c r="L792" s="21" t="n"/>
      <c r="M792" s="21" t="n"/>
      <c r="N792" s="21" t="n"/>
    </row>
    <row r="793">
      <c r="D793" s="21" t="n"/>
      <c r="E793" s="21" t="n"/>
      <c r="F793" s="21" t="n"/>
      <c r="K793" s="21" t="n"/>
      <c r="L793" s="21" t="n"/>
      <c r="M793" s="21" t="n"/>
      <c r="N793" s="21" t="n"/>
    </row>
    <row r="794">
      <c r="D794" s="21" t="n"/>
      <c r="E794" s="21" t="n"/>
      <c r="F794" s="21" t="n"/>
      <c r="K794" s="21" t="n"/>
      <c r="L794" s="21" t="n"/>
      <c r="M794" s="21" t="n"/>
      <c r="N794" s="21" t="n"/>
    </row>
    <row r="795">
      <c r="D795" s="21" t="n"/>
      <c r="E795" s="21" t="n"/>
      <c r="F795" s="21" t="n"/>
      <c r="K795" s="21" t="n"/>
      <c r="L795" s="21" t="n"/>
      <c r="M795" s="21" t="n"/>
      <c r="N795" s="21" t="n"/>
    </row>
    <row r="796">
      <c r="D796" s="21" t="n"/>
      <c r="E796" s="21" t="n"/>
      <c r="F796" s="21" t="n"/>
      <c r="K796" s="21" t="n"/>
      <c r="L796" s="21" t="n"/>
      <c r="M796" s="21" t="n"/>
      <c r="N796" s="21" t="n"/>
    </row>
    <row r="797">
      <c r="D797" s="21" t="n"/>
      <c r="E797" s="21" t="n"/>
      <c r="F797" s="21" t="n"/>
      <c r="K797" s="21" t="n"/>
      <c r="L797" s="21" t="n"/>
      <c r="M797" s="21" t="n"/>
      <c r="N797" s="21" t="n"/>
    </row>
    <row r="798">
      <c r="D798" s="21" t="n"/>
      <c r="E798" s="21" t="n"/>
      <c r="F798" s="21" t="n"/>
      <c r="K798" s="21" t="n"/>
      <c r="L798" s="21" t="n"/>
      <c r="M798" s="21" t="n"/>
      <c r="N798" s="21" t="n"/>
    </row>
    <row r="799">
      <c r="D799" s="21" t="n"/>
      <c r="E799" s="21" t="n"/>
      <c r="F799" s="21" t="n"/>
      <c r="K799" s="21" t="n"/>
      <c r="L799" s="21" t="n"/>
      <c r="M799" s="21" t="n"/>
      <c r="N799" s="21" t="n"/>
    </row>
    <row r="800">
      <c r="D800" s="21" t="n"/>
      <c r="E800" s="21" t="n"/>
      <c r="F800" s="21" t="n"/>
      <c r="K800" s="21" t="n"/>
      <c r="L800" s="21" t="n"/>
      <c r="M800" s="21" t="n"/>
      <c r="N800" s="21" t="n"/>
    </row>
    <row r="801">
      <c r="D801" s="21" t="n"/>
      <c r="E801" s="21" t="n"/>
      <c r="F801" s="21" t="n"/>
      <c r="K801" s="21" t="n"/>
      <c r="L801" s="21" t="n"/>
      <c r="M801" s="21" t="n"/>
      <c r="N801" s="21" t="n"/>
    </row>
    <row r="802">
      <c r="D802" s="21" t="n"/>
      <c r="E802" s="21" t="n"/>
      <c r="F802" s="21" t="n"/>
      <c r="K802" s="21" t="n"/>
      <c r="L802" s="21" t="n"/>
      <c r="M802" s="21" t="n"/>
      <c r="N802" s="21" t="n"/>
    </row>
    <row r="803">
      <c r="D803" s="21" t="n"/>
      <c r="E803" s="21" t="n"/>
      <c r="F803" s="21" t="n"/>
      <c r="K803" s="21" t="n"/>
      <c r="L803" s="21" t="n"/>
      <c r="M803" s="21" t="n"/>
      <c r="N803" s="21" t="n"/>
    </row>
    <row r="804">
      <c r="D804" s="21" t="n"/>
      <c r="E804" s="21" t="n"/>
      <c r="F804" s="21" t="n"/>
      <c r="K804" s="21" t="n"/>
      <c r="L804" s="21" t="n"/>
      <c r="M804" s="21" t="n"/>
      <c r="N804" s="21" t="n"/>
    </row>
    <row r="805">
      <c r="D805" s="21" t="n"/>
      <c r="E805" s="21" t="n"/>
      <c r="F805" s="21" t="n"/>
      <c r="K805" s="21" t="n"/>
      <c r="L805" s="21" t="n"/>
      <c r="M805" s="21" t="n"/>
      <c r="N805" s="21" t="n"/>
    </row>
    <row r="806">
      <c r="D806" s="21" t="n"/>
      <c r="E806" s="21" t="n"/>
      <c r="F806" s="21" t="n"/>
      <c r="K806" s="21" t="n"/>
      <c r="L806" s="21" t="n"/>
      <c r="M806" s="21" t="n"/>
      <c r="N806" s="21" t="n"/>
    </row>
    <row r="807">
      <c r="D807" s="21" t="n"/>
      <c r="E807" s="21" t="n"/>
      <c r="F807" s="21" t="n"/>
      <c r="K807" s="21" t="n"/>
      <c r="L807" s="21" t="n"/>
      <c r="M807" s="21" t="n"/>
      <c r="N807" s="21" t="n"/>
    </row>
    <row r="808">
      <c r="D808" s="21" t="n"/>
      <c r="E808" s="21" t="n"/>
      <c r="F808" s="21" t="n"/>
      <c r="K808" s="21" t="n"/>
      <c r="L808" s="21" t="n"/>
      <c r="M808" s="21" t="n"/>
      <c r="N808" s="21" t="n"/>
    </row>
    <row r="809">
      <c r="D809" s="21" t="n"/>
      <c r="E809" s="21" t="n"/>
      <c r="F809" s="21" t="n"/>
      <c r="K809" s="21" t="n"/>
      <c r="L809" s="21" t="n"/>
      <c r="M809" s="21" t="n"/>
      <c r="N809" s="21" t="n"/>
    </row>
    <row r="810">
      <c r="D810" s="21" t="n"/>
      <c r="E810" s="21" t="n"/>
      <c r="F810" s="21" t="n"/>
      <c r="K810" s="21" t="n"/>
      <c r="L810" s="21" t="n"/>
      <c r="M810" s="21" t="n"/>
      <c r="N810" s="21" t="n"/>
    </row>
    <row r="811">
      <c r="D811" s="21" t="n"/>
      <c r="E811" s="21" t="n"/>
      <c r="F811" s="21" t="n"/>
      <c r="K811" s="21" t="n"/>
      <c r="L811" s="21" t="n"/>
      <c r="M811" s="21" t="n"/>
      <c r="N811" s="21" t="n"/>
    </row>
    <row r="812">
      <c r="D812" s="21" t="n"/>
      <c r="E812" s="21" t="n"/>
      <c r="F812" s="21" t="n"/>
      <c r="K812" s="21" t="n"/>
      <c r="L812" s="21" t="n"/>
      <c r="M812" s="21" t="n"/>
      <c r="N812" s="21" t="n"/>
    </row>
    <row r="813">
      <c r="D813" s="21" t="n"/>
      <c r="E813" s="21" t="n"/>
      <c r="F813" s="21" t="n"/>
      <c r="K813" s="21" t="n"/>
      <c r="L813" s="21" t="n"/>
      <c r="M813" s="21" t="n"/>
      <c r="N813" s="21" t="n"/>
    </row>
    <row r="814">
      <c r="D814" s="21" t="n"/>
      <c r="E814" s="21" t="n"/>
      <c r="F814" s="21" t="n"/>
      <c r="K814" s="21" t="n"/>
      <c r="L814" s="21" t="n"/>
      <c r="M814" s="21" t="n"/>
      <c r="N814" s="21" t="n"/>
    </row>
    <row r="815">
      <c r="D815" s="21" t="n"/>
      <c r="E815" s="21" t="n"/>
      <c r="F815" s="21" t="n"/>
      <c r="K815" s="21" t="n"/>
      <c r="L815" s="21" t="n"/>
      <c r="M815" s="21" t="n"/>
      <c r="N815" s="21" t="n"/>
    </row>
    <row r="816">
      <c r="D816" s="21" t="n"/>
      <c r="E816" s="21" t="n"/>
      <c r="F816" s="21" t="n"/>
      <c r="K816" s="21" t="n"/>
      <c r="L816" s="21" t="n"/>
      <c r="M816" s="21" t="n"/>
      <c r="N816" s="21" t="n"/>
    </row>
    <row r="817">
      <c r="D817" s="21" t="n"/>
      <c r="E817" s="21" t="n"/>
      <c r="F817" s="21" t="n"/>
      <c r="K817" s="21" t="n"/>
      <c r="L817" s="21" t="n"/>
      <c r="M817" s="21" t="n"/>
      <c r="N817" s="21" t="n"/>
    </row>
    <row r="818">
      <c r="D818" s="21" t="n"/>
      <c r="E818" s="21" t="n"/>
      <c r="F818" s="21" t="n"/>
      <c r="K818" s="21" t="n"/>
      <c r="L818" s="21" t="n"/>
      <c r="M818" s="21" t="n"/>
      <c r="N818" s="21" t="n"/>
    </row>
    <row r="819">
      <c r="D819" s="21" t="n"/>
      <c r="E819" s="21" t="n"/>
      <c r="F819" s="21" t="n"/>
      <c r="K819" s="21" t="n"/>
      <c r="L819" s="21" t="n"/>
      <c r="M819" s="21" t="n"/>
      <c r="N819" s="21" t="n"/>
    </row>
    <row r="820">
      <c r="D820" s="21" t="n"/>
      <c r="E820" s="21" t="n"/>
      <c r="F820" s="21" t="n"/>
      <c r="K820" s="21" t="n"/>
      <c r="L820" s="21" t="n"/>
      <c r="M820" s="21" t="n"/>
      <c r="N820" s="21" t="n"/>
    </row>
    <row r="821">
      <c r="D821" s="21" t="n"/>
      <c r="E821" s="21" t="n"/>
      <c r="F821" s="21" t="n"/>
      <c r="K821" s="21" t="n"/>
      <c r="L821" s="21" t="n"/>
      <c r="M821" s="21" t="n"/>
      <c r="N821" s="21" t="n"/>
    </row>
    <row r="822">
      <c r="D822" s="21" t="n"/>
      <c r="E822" s="21" t="n"/>
      <c r="F822" s="21" t="n"/>
      <c r="K822" s="21" t="n"/>
      <c r="L822" s="21" t="n"/>
      <c r="M822" s="21" t="n"/>
      <c r="N822" s="21" t="n"/>
    </row>
    <row r="823">
      <c r="D823" s="21" t="n"/>
      <c r="E823" s="21" t="n"/>
      <c r="F823" s="21" t="n"/>
      <c r="K823" s="21" t="n"/>
      <c r="L823" s="21" t="n"/>
      <c r="M823" s="21" t="n"/>
      <c r="N823" s="21" t="n"/>
    </row>
    <row r="824">
      <c r="D824" s="21" t="n"/>
      <c r="E824" s="21" t="n"/>
      <c r="F824" s="21" t="n"/>
      <c r="K824" s="21" t="n"/>
      <c r="L824" s="21" t="n"/>
      <c r="M824" s="21" t="n"/>
      <c r="N824" s="21" t="n"/>
    </row>
    <row r="825">
      <c r="D825" s="21" t="n"/>
      <c r="E825" s="21" t="n"/>
      <c r="F825" s="21" t="n"/>
      <c r="K825" s="21" t="n"/>
      <c r="L825" s="21" t="n"/>
      <c r="M825" s="21" t="n"/>
      <c r="N825" s="21" t="n"/>
    </row>
    <row r="826">
      <c r="D826" s="21" t="n"/>
      <c r="E826" s="21" t="n"/>
      <c r="F826" s="21" t="n"/>
      <c r="K826" s="21" t="n"/>
      <c r="L826" s="21" t="n"/>
      <c r="M826" s="21" t="n"/>
      <c r="N826" s="21" t="n"/>
    </row>
    <row r="827">
      <c r="D827" s="21" t="n"/>
      <c r="E827" s="21" t="n"/>
      <c r="F827" s="21" t="n"/>
      <c r="K827" s="21" t="n"/>
      <c r="L827" s="21" t="n"/>
      <c r="M827" s="21" t="n"/>
      <c r="N827" s="21" t="n"/>
    </row>
    <row r="828">
      <c r="D828" s="21" t="n"/>
      <c r="E828" s="21" t="n"/>
      <c r="F828" s="21" t="n"/>
      <c r="K828" s="21" t="n"/>
      <c r="L828" s="21" t="n"/>
      <c r="M828" s="21" t="n"/>
      <c r="N828" s="21" t="n"/>
    </row>
    <row r="829">
      <c r="D829" s="21" t="n"/>
      <c r="E829" s="21" t="n"/>
      <c r="F829" s="21" t="n"/>
      <c r="K829" s="21" t="n"/>
      <c r="L829" s="21" t="n"/>
      <c r="M829" s="21" t="n"/>
      <c r="N829" s="21" t="n"/>
    </row>
    <row r="830">
      <c r="D830" s="21" t="n"/>
      <c r="E830" s="21" t="n"/>
      <c r="F830" s="21" t="n"/>
      <c r="K830" s="21" t="n"/>
      <c r="L830" s="21" t="n"/>
      <c r="M830" s="21" t="n"/>
      <c r="N830" s="21" t="n"/>
    </row>
    <row r="831">
      <c r="D831" s="21" t="n"/>
      <c r="E831" s="21" t="n"/>
      <c r="F831" s="21" t="n"/>
      <c r="K831" s="21" t="n"/>
      <c r="L831" s="21" t="n"/>
      <c r="M831" s="21" t="n"/>
      <c r="N831" s="21" t="n"/>
    </row>
    <row r="832">
      <c r="D832" s="21" t="n"/>
      <c r="E832" s="21" t="n"/>
      <c r="F832" s="21" t="n"/>
      <c r="K832" s="21" t="n"/>
      <c r="L832" s="21" t="n"/>
      <c r="M832" s="21" t="n"/>
      <c r="N832" s="21" t="n"/>
    </row>
    <row r="833">
      <c r="D833" s="21" t="n"/>
      <c r="E833" s="21" t="n"/>
      <c r="F833" s="21" t="n"/>
      <c r="K833" s="21" t="n"/>
      <c r="L833" s="21" t="n"/>
      <c r="M833" s="21" t="n"/>
      <c r="N833" s="21" t="n"/>
    </row>
    <row r="834">
      <c r="D834" s="21" t="n"/>
      <c r="E834" s="21" t="n"/>
      <c r="F834" s="21" t="n"/>
      <c r="K834" s="21" t="n"/>
      <c r="L834" s="21" t="n"/>
      <c r="M834" s="21" t="n"/>
      <c r="N834" s="21" t="n"/>
    </row>
    <row r="835">
      <c r="D835" s="21" t="n"/>
      <c r="E835" s="21" t="n"/>
      <c r="F835" s="21" t="n"/>
      <c r="K835" s="21" t="n"/>
      <c r="L835" s="21" t="n"/>
      <c r="M835" s="21" t="n"/>
      <c r="N835" s="21" t="n"/>
    </row>
    <row r="836">
      <c r="D836" s="21" t="n"/>
      <c r="E836" s="21" t="n"/>
      <c r="F836" s="21" t="n"/>
      <c r="K836" s="21" t="n"/>
      <c r="L836" s="21" t="n"/>
      <c r="M836" s="21" t="n"/>
      <c r="N836" s="21" t="n"/>
    </row>
    <row r="837">
      <c r="D837" s="21" t="n"/>
      <c r="E837" s="21" t="n"/>
      <c r="F837" s="21" t="n"/>
      <c r="K837" s="21" t="n"/>
      <c r="L837" s="21" t="n"/>
      <c r="M837" s="21" t="n"/>
      <c r="N837" s="21" t="n"/>
    </row>
    <row r="838">
      <c r="D838" s="21" t="n"/>
      <c r="E838" s="21" t="n"/>
      <c r="F838" s="21" t="n"/>
      <c r="K838" s="21" t="n"/>
      <c r="L838" s="21" t="n"/>
      <c r="M838" s="21" t="n"/>
      <c r="N838" s="21" t="n"/>
    </row>
    <row r="839">
      <c r="D839" s="21" t="n"/>
      <c r="E839" s="21" t="n"/>
      <c r="F839" s="21" t="n"/>
      <c r="K839" s="21" t="n"/>
      <c r="L839" s="21" t="n"/>
      <c r="M839" s="21" t="n"/>
      <c r="N839" s="21" t="n"/>
    </row>
    <row r="840">
      <c r="D840" s="21" t="n"/>
      <c r="E840" s="21" t="n"/>
      <c r="F840" s="21" t="n"/>
      <c r="K840" s="21" t="n"/>
      <c r="L840" s="21" t="n"/>
      <c r="M840" s="21" t="n"/>
      <c r="N840" s="21" t="n"/>
    </row>
    <row r="841">
      <c r="D841" s="21" t="n"/>
      <c r="E841" s="21" t="n"/>
      <c r="F841" s="21" t="n"/>
      <c r="K841" s="21" t="n"/>
      <c r="L841" s="21" t="n"/>
      <c r="M841" s="21" t="n"/>
      <c r="N841" s="21" t="n"/>
    </row>
    <row r="842">
      <c r="D842" s="21" t="n"/>
      <c r="E842" s="21" t="n"/>
      <c r="F842" s="21" t="n"/>
      <c r="K842" s="21" t="n"/>
      <c r="L842" s="21" t="n"/>
      <c r="M842" s="21" t="n"/>
      <c r="N842" s="21" t="n"/>
    </row>
    <row r="843">
      <c r="D843" s="21" t="n"/>
      <c r="E843" s="21" t="n"/>
      <c r="F843" s="21" t="n"/>
      <c r="K843" s="21" t="n"/>
      <c r="L843" s="21" t="n"/>
      <c r="M843" s="21" t="n"/>
      <c r="N843" s="21" t="n"/>
    </row>
    <row r="844">
      <c r="D844" s="21" t="n"/>
      <c r="E844" s="21" t="n"/>
      <c r="F844" s="21" t="n"/>
      <c r="K844" s="21" t="n"/>
      <c r="L844" s="21" t="n"/>
      <c r="M844" s="21" t="n"/>
      <c r="N844" s="21" t="n"/>
    </row>
    <row r="845">
      <c r="D845" s="21" t="n"/>
      <c r="E845" s="21" t="n"/>
      <c r="F845" s="21" t="n"/>
      <c r="K845" s="21" t="n"/>
      <c r="L845" s="21" t="n"/>
      <c r="M845" s="21" t="n"/>
      <c r="N845" s="21" t="n"/>
    </row>
    <row r="846">
      <c r="D846" s="21" t="n"/>
      <c r="E846" s="21" t="n"/>
      <c r="F846" s="21" t="n"/>
      <c r="K846" s="21" t="n"/>
      <c r="L846" s="21" t="n"/>
      <c r="M846" s="21" t="n"/>
      <c r="N846" s="21" t="n"/>
    </row>
    <row r="847">
      <c r="D847" s="21" t="n"/>
      <c r="E847" s="21" t="n"/>
      <c r="F847" s="21" t="n"/>
      <c r="K847" s="21" t="n"/>
      <c r="L847" s="21" t="n"/>
      <c r="M847" s="21" t="n"/>
      <c r="N847" s="21" t="n"/>
    </row>
    <row r="848">
      <c r="D848" s="21" t="n"/>
      <c r="E848" s="21" t="n"/>
      <c r="F848" s="21" t="n"/>
      <c r="K848" s="21" t="n"/>
      <c r="L848" s="21" t="n"/>
      <c r="M848" s="21" t="n"/>
      <c r="N848" s="21" t="n"/>
    </row>
    <row r="849">
      <c r="D849" s="21" t="n"/>
      <c r="E849" s="21" t="n"/>
      <c r="F849" s="21" t="n"/>
      <c r="K849" s="21" t="n"/>
      <c r="L849" s="21" t="n"/>
      <c r="M849" s="21" t="n"/>
      <c r="N849" s="21" t="n"/>
    </row>
    <row r="850">
      <c r="D850" s="21" t="n"/>
      <c r="E850" s="21" t="n"/>
      <c r="F850" s="21" t="n"/>
      <c r="K850" s="21" t="n"/>
      <c r="L850" s="21" t="n"/>
      <c r="M850" s="21" t="n"/>
      <c r="N850" s="21" t="n"/>
    </row>
    <row r="851">
      <c r="D851" s="21" t="n"/>
      <c r="E851" s="21" t="n"/>
      <c r="F851" s="21" t="n"/>
      <c r="K851" s="21" t="n"/>
      <c r="L851" s="21" t="n"/>
      <c r="M851" s="21" t="n"/>
      <c r="N851" s="21" t="n"/>
    </row>
    <row r="852">
      <c r="D852" s="21" t="n"/>
      <c r="E852" s="21" t="n"/>
      <c r="F852" s="21" t="n"/>
      <c r="K852" s="21" t="n"/>
      <c r="L852" s="21" t="n"/>
      <c r="M852" s="21" t="n"/>
      <c r="N852" s="21" t="n"/>
    </row>
    <row r="853">
      <c r="D853" s="21" t="n"/>
      <c r="E853" s="21" t="n"/>
      <c r="F853" s="21" t="n"/>
      <c r="K853" s="21" t="n"/>
      <c r="L853" s="21" t="n"/>
      <c r="M853" s="21" t="n"/>
      <c r="N853" s="21" t="n"/>
    </row>
    <row r="854">
      <c r="D854" s="21" t="n"/>
      <c r="E854" s="21" t="n"/>
      <c r="F854" s="21" t="n"/>
      <c r="K854" s="21" t="n"/>
      <c r="L854" s="21" t="n"/>
      <c r="M854" s="21" t="n"/>
      <c r="N854" s="21" t="n"/>
    </row>
    <row r="855">
      <c r="D855" s="21" t="n"/>
      <c r="E855" s="21" t="n"/>
      <c r="F855" s="21" t="n"/>
      <c r="K855" s="21" t="n"/>
      <c r="L855" s="21" t="n"/>
      <c r="M855" s="21" t="n"/>
      <c r="N855" s="21" t="n"/>
    </row>
    <row r="856">
      <c r="D856" s="21" t="n"/>
      <c r="E856" s="21" t="n"/>
      <c r="F856" s="21" t="n"/>
      <c r="K856" s="21" t="n"/>
      <c r="L856" s="21" t="n"/>
      <c r="M856" s="21" t="n"/>
      <c r="N856" s="21" t="n"/>
    </row>
    <row r="857">
      <c r="D857" s="21" t="n"/>
      <c r="E857" s="21" t="n"/>
      <c r="F857" s="21" t="n"/>
      <c r="K857" s="21" t="n"/>
      <c r="L857" s="21" t="n"/>
      <c r="M857" s="21" t="n"/>
      <c r="N857" s="21" t="n"/>
    </row>
    <row r="858">
      <c r="D858" s="21" t="n"/>
      <c r="E858" s="21" t="n"/>
      <c r="F858" s="21" t="n"/>
      <c r="K858" s="21" t="n"/>
      <c r="L858" s="21" t="n"/>
      <c r="M858" s="21" t="n"/>
      <c r="N858" s="21" t="n"/>
    </row>
    <row r="859">
      <c r="D859" s="21" t="n"/>
      <c r="E859" s="21" t="n"/>
      <c r="F859" s="21" t="n"/>
      <c r="K859" s="21" t="n"/>
      <c r="L859" s="21" t="n"/>
      <c r="M859" s="21" t="n"/>
      <c r="N859" s="21" t="n"/>
    </row>
    <row r="860">
      <c r="D860" s="21" t="n"/>
      <c r="E860" s="21" t="n"/>
      <c r="F860" s="21" t="n"/>
      <c r="K860" s="21" t="n"/>
      <c r="L860" s="21" t="n"/>
      <c r="M860" s="21" t="n"/>
      <c r="N860" s="21" t="n"/>
    </row>
    <row r="861">
      <c r="D861" s="21" t="n"/>
      <c r="E861" s="21" t="n"/>
      <c r="F861" s="21" t="n"/>
      <c r="K861" s="21" t="n"/>
      <c r="L861" s="21" t="n"/>
      <c r="M861" s="21" t="n"/>
      <c r="N861" s="21" t="n"/>
    </row>
    <row r="862">
      <c r="D862" s="21" t="n"/>
      <c r="E862" s="21" t="n"/>
      <c r="F862" s="21" t="n"/>
      <c r="K862" s="21" t="n"/>
      <c r="L862" s="21" t="n"/>
      <c r="M862" s="21" t="n"/>
      <c r="N862" s="21" t="n"/>
    </row>
    <row r="863">
      <c r="D863" s="21" t="n"/>
      <c r="E863" s="21" t="n"/>
      <c r="F863" s="21" t="n"/>
      <c r="K863" s="21" t="n"/>
      <c r="L863" s="21" t="n"/>
      <c r="M863" s="21" t="n"/>
      <c r="N863" s="21" t="n"/>
    </row>
    <row r="864">
      <c r="D864" s="21" t="n"/>
      <c r="E864" s="21" t="n"/>
      <c r="F864" s="21" t="n"/>
      <c r="K864" s="21" t="n"/>
      <c r="L864" s="21" t="n"/>
      <c r="M864" s="21" t="n"/>
      <c r="N864" s="21" t="n"/>
    </row>
    <row r="865">
      <c r="D865" s="21" t="n"/>
      <c r="E865" s="21" t="n"/>
      <c r="F865" s="21" t="n"/>
      <c r="K865" s="21" t="n"/>
      <c r="L865" s="21" t="n"/>
      <c r="M865" s="21" t="n"/>
      <c r="N865" s="21" t="n"/>
    </row>
    <row r="866">
      <c r="D866" s="21" t="n"/>
      <c r="E866" s="21" t="n"/>
      <c r="F866" s="21" t="n"/>
      <c r="K866" s="21" t="n"/>
      <c r="L866" s="21" t="n"/>
      <c r="M866" s="21" t="n"/>
      <c r="N866" s="21" t="n"/>
    </row>
    <row r="867">
      <c r="D867" s="21" t="n"/>
      <c r="E867" s="21" t="n"/>
      <c r="F867" s="21" t="n"/>
      <c r="K867" s="21" t="n"/>
      <c r="L867" s="21" t="n"/>
      <c r="M867" s="21" t="n"/>
      <c r="N867" s="21" t="n"/>
    </row>
    <row r="868">
      <c r="D868" s="21" t="n"/>
      <c r="E868" s="21" t="n"/>
      <c r="F868" s="21" t="n"/>
      <c r="K868" s="21" t="n"/>
      <c r="L868" s="21" t="n"/>
      <c r="M868" s="21" t="n"/>
      <c r="N868" s="21" t="n"/>
    </row>
    <row r="869">
      <c r="D869" s="21" t="n"/>
      <c r="E869" s="21" t="n"/>
      <c r="F869" s="21" t="n"/>
      <c r="K869" s="21" t="n"/>
      <c r="L869" s="21" t="n"/>
      <c r="M869" s="21" t="n"/>
      <c r="N869" s="21" t="n"/>
    </row>
    <row r="870">
      <c r="D870" s="21" t="n"/>
      <c r="E870" s="21" t="n"/>
      <c r="F870" s="21" t="n"/>
      <c r="K870" s="21" t="n"/>
      <c r="L870" s="21" t="n"/>
      <c r="M870" s="21" t="n"/>
      <c r="N870" s="21" t="n"/>
    </row>
    <row r="871">
      <c r="D871" s="21" t="n"/>
      <c r="E871" s="21" t="n"/>
      <c r="F871" s="21" t="n"/>
      <c r="K871" s="21" t="n"/>
      <c r="L871" s="21" t="n"/>
      <c r="M871" s="21" t="n"/>
      <c r="N871" s="21" t="n"/>
    </row>
    <row r="872">
      <c r="D872" s="21" t="n"/>
      <c r="E872" s="21" t="n"/>
      <c r="F872" s="21" t="n"/>
      <c r="K872" s="21" t="n"/>
      <c r="L872" s="21" t="n"/>
      <c r="M872" s="21" t="n"/>
      <c r="N872" s="21" t="n"/>
    </row>
    <row r="873">
      <c r="D873" s="21" t="n"/>
      <c r="E873" s="21" t="n"/>
      <c r="F873" s="21" t="n"/>
      <c r="K873" s="21" t="n"/>
      <c r="L873" s="21" t="n"/>
      <c r="M873" s="21" t="n"/>
      <c r="N873" s="21" t="n"/>
    </row>
    <row r="874">
      <c r="D874" s="21" t="n"/>
      <c r="E874" s="21" t="n"/>
      <c r="F874" s="21" t="n"/>
      <c r="K874" s="21" t="n"/>
      <c r="L874" s="21" t="n"/>
      <c r="M874" s="21" t="n"/>
      <c r="N874" s="21" t="n"/>
    </row>
    <row r="875">
      <c r="D875" s="21" t="n"/>
      <c r="E875" s="21" t="n"/>
      <c r="F875" s="21" t="n"/>
      <c r="K875" s="21" t="n"/>
      <c r="L875" s="21" t="n"/>
      <c r="M875" s="21" t="n"/>
      <c r="N875" s="21" t="n"/>
    </row>
    <row r="876">
      <c r="D876" s="21" t="n"/>
      <c r="E876" s="21" t="n"/>
      <c r="F876" s="21" t="n"/>
      <c r="K876" s="21" t="n"/>
      <c r="L876" s="21" t="n"/>
      <c r="M876" s="21" t="n"/>
      <c r="N876" s="21" t="n"/>
    </row>
    <row r="877">
      <c r="D877" s="21" t="n"/>
      <c r="E877" s="21" t="n"/>
      <c r="F877" s="21" t="n"/>
      <c r="K877" s="21" t="n"/>
      <c r="L877" s="21" t="n"/>
      <c r="M877" s="21" t="n"/>
      <c r="N877" s="21" t="n"/>
    </row>
    <row r="878">
      <c r="D878" s="21" t="n"/>
      <c r="E878" s="21" t="n"/>
      <c r="F878" s="21" t="n"/>
      <c r="K878" s="21" t="n"/>
      <c r="L878" s="21" t="n"/>
      <c r="M878" s="21" t="n"/>
      <c r="N878" s="21" t="n"/>
    </row>
    <row r="879">
      <c r="D879" s="21" t="n"/>
      <c r="E879" s="21" t="n"/>
      <c r="F879" s="21" t="n"/>
      <c r="K879" s="21" t="n"/>
      <c r="L879" s="21" t="n"/>
      <c r="M879" s="21" t="n"/>
      <c r="N879" s="21" t="n"/>
    </row>
    <row r="880">
      <c r="D880" s="21" t="n"/>
      <c r="E880" s="21" t="n"/>
      <c r="F880" s="21" t="n"/>
      <c r="K880" s="21" t="n"/>
      <c r="L880" s="21" t="n"/>
      <c r="M880" s="21" t="n"/>
      <c r="N880" s="21" t="n"/>
    </row>
    <row r="881">
      <c r="D881" s="21" t="n"/>
      <c r="E881" s="21" t="n"/>
      <c r="F881" s="21" t="n"/>
      <c r="K881" s="21" t="n"/>
      <c r="L881" s="21" t="n"/>
      <c r="M881" s="21" t="n"/>
      <c r="N881" s="21" t="n"/>
    </row>
    <row r="882">
      <c r="D882" s="21" t="n"/>
      <c r="E882" s="21" t="n"/>
      <c r="F882" s="21" t="n"/>
      <c r="K882" s="21" t="n"/>
      <c r="L882" s="21" t="n"/>
      <c r="M882" s="21" t="n"/>
      <c r="N882" s="21" t="n"/>
    </row>
    <row r="883">
      <c r="D883" s="21" t="n"/>
      <c r="E883" s="21" t="n"/>
      <c r="F883" s="21" t="n"/>
      <c r="K883" s="21" t="n"/>
      <c r="L883" s="21" t="n"/>
      <c r="M883" s="21" t="n"/>
      <c r="N883" s="21" t="n"/>
    </row>
    <row r="884">
      <c r="D884" s="21" t="n"/>
      <c r="E884" s="21" t="n"/>
      <c r="F884" s="21" t="n"/>
      <c r="K884" s="21" t="n"/>
      <c r="L884" s="21" t="n"/>
      <c r="M884" s="21" t="n"/>
      <c r="N884" s="21" t="n"/>
    </row>
    <row r="885">
      <c r="D885" s="21" t="n"/>
      <c r="E885" s="21" t="n"/>
      <c r="F885" s="21" t="n"/>
      <c r="K885" s="21" t="n"/>
      <c r="L885" s="21" t="n"/>
      <c r="M885" s="21" t="n"/>
      <c r="N885" s="21" t="n"/>
    </row>
    <row r="886">
      <c r="D886" s="21" t="n"/>
      <c r="E886" s="21" t="n"/>
      <c r="F886" s="21" t="n"/>
      <c r="K886" s="21" t="n"/>
      <c r="L886" s="21" t="n"/>
      <c r="M886" s="21" t="n"/>
      <c r="N886" s="21" t="n"/>
    </row>
    <row r="887">
      <c r="D887" s="21" t="n"/>
      <c r="E887" s="21" t="n"/>
      <c r="F887" s="21" t="n"/>
      <c r="K887" s="21" t="n"/>
      <c r="L887" s="21" t="n"/>
      <c r="M887" s="21" t="n"/>
      <c r="N887" s="21" t="n"/>
    </row>
    <row r="888">
      <c r="D888" s="21" t="n"/>
      <c r="E888" s="21" t="n"/>
      <c r="F888" s="21" t="n"/>
      <c r="K888" s="21" t="n"/>
      <c r="L888" s="21" t="n"/>
      <c r="M888" s="21" t="n"/>
      <c r="N888" s="21" t="n"/>
    </row>
    <row r="889">
      <c r="D889" s="21" t="n"/>
      <c r="E889" s="21" t="n"/>
      <c r="F889" s="21" t="n"/>
      <c r="K889" s="21" t="n"/>
      <c r="L889" s="21" t="n"/>
      <c r="M889" s="21" t="n"/>
      <c r="N889" s="21" t="n"/>
    </row>
    <row r="890">
      <c r="D890" s="21" t="n"/>
      <c r="E890" s="21" t="n"/>
      <c r="F890" s="21" t="n"/>
      <c r="K890" s="21" t="n"/>
      <c r="L890" s="21" t="n"/>
      <c r="M890" s="21" t="n"/>
      <c r="N890" s="21" t="n"/>
    </row>
    <row r="891">
      <c r="D891" s="21" t="n"/>
      <c r="E891" s="21" t="n"/>
      <c r="F891" s="21" t="n"/>
      <c r="K891" s="21" t="n"/>
      <c r="L891" s="21" t="n"/>
      <c r="M891" s="21" t="n"/>
      <c r="N891" s="21" t="n"/>
    </row>
    <row r="892">
      <c r="D892" s="21" t="n"/>
      <c r="E892" s="21" t="n"/>
      <c r="F892" s="21" t="n"/>
      <c r="K892" s="21" t="n"/>
      <c r="L892" s="21" t="n"/>
      <c r="M892" s="21" t="n"/>
      <c r="N892" s="21" t="n"/>
    </row>
    <row r="893">
      <c r="D893" s="21" t="n"/>
      <c r="E893" s="21" t="n"/>
      <c r="F893" s="21" t="n"/>
      <c r="K893" s="21" t="n"/>
      <c r="L893" s="21" t="n"/>
      <c r="M893" s="21" t="n"/>
      <c r="N893" s="21" t="n"/>
    </row>
    <row r="894">
      <c r="D894" s="21" t="n"/>
      <c r="E894" s="21" t="n"/>
      <c r="F894" s="21" t="n"/>
      <c r="K894" s="21" t="n"/>
      <c r="L894" s="21" t="n"/>
      <c r="M894" s="21" t="n"/>
      <c r="N894" s="21" t="n"/>
    </row>
    <row r="895">
      <c r="D895" s="21" t="n"/>
      <c r="E895" s="21" t="n"/>
      <c r="F895" s="21" t="n"/>
      <c r="K895" s="21" t="n"/>
      <c r="L895" s="21" t="n"/>
      <c r="M895" s="21" t="n"/>
      <c r="N895" s="21" t="n"/>
    </row>
    <row r="896">
      <c r="D896" s="21" t="n"/>
      <c r="E896" s="21" t="n"/>
      <c r="F896" s="21" t="n"/>
      <c r="K896" s="21" t="n"/>
      <c r="L896" s="21" t="n"/>
      <c r="M896" s="21" t="n"/>
      <c r="N896" s="21" t="n"/>
    </row>
    <row r="897">
      <c r="D897" s="21" t="n"/>
      <c r="E897" s="21" t="n"/>
      <c r="F897" s="21" t="n"/>
      <c r="K897" s="21" t="n"/>
      <c r="L897" s="21" t="n"/>
      <c r="M897" s="21" t="n"/>
      <c r="N897" s="21" t="n"/>
    </row>
    <row r="898">
      <c r="D898" s="21" t="n"/>
      <c r="E898" s="21" t="n"/>
      <c r="F898" s="21" t="n"/>
      <c r="K898" s="21" t="n"/>
      <c r="L898" s="21" t="n"/>
      <c r="M898" s="21" t="n"/>
      <c r="N898" s="21" t="n"/>
    </row>
    <row r="899">
      <c r="D899" s="21" t="n"/>
      <c r="E899" s="21" t="n"/>
      <c r="F899" s="21" t="n"/>
      <c r="K899" s="21" t="n"/>
      <c r="L899" s="21" t="n"/>
      <c r="M899" s="21" t="n"/>
      <c r="N899" s="21" t="n"/>
    </row>
    <row r="900">
      <c r="D900" s="21" t="n"/>
      <c r="E900" s="21" t="n"/>
      <c r="F900" s="21" t="n"/>
      <c r="K900" s="21" t="n"/>
      <c r="L900" s="21" t="n"/>
      <c r="M900" s="21" t="n"/>
      <c r="N900" s="21" t="n"/>
    </row>
    <row r="901">
      <c r="D901" s="21" t="n"/>
      <c r="E901" s="21" t="n"/>
      <c r="F901" s="21" t="n"/>
      <c r="K901" s="21" t="n"/>
      <c r="L901" s="21" t="n"/>
      <c r="M901" s="21" t="n"/>
      <c r="N901" s="21" t="n"/>
    </row>
    <row r="902">
      <c r="D902" s="21" t="n"/>
      <c r="E902" s="21" t="n"/>
      <c r="F902" s="21" t="n"/>
      <c r="K902" s="21" t="n"/>
      <c r="L902" s="21" t="n"/>
      <c r="M902" s="21" t="n"/>
      <c r="N902" s="21" t="n"/>
    </row>
    <row r="903">
      <c r="D903" s="21" t="n"/>
      <c r="E903" s="21" t="n"/>
      <c r="F903" s="21" t="n"/>
      <c r="K903" s="21" t="n"/>
      <c r="L903" s="21" t="n"/>
      <c r="M903" s="21" t="n"/>
      <c r="N903" s="21" t="n"/>
    </row>
    <row r="904">
      <c r="D904" s="21" t="n"/>
      <c r="E904" s="21" t="n"/>
      <c r="F904" s="21" t="n"/>
      <c r="K904" s="21" t="n"/>
      <c r="L904" s="21" t="n"/>
      <c r="M904" s="21" t="n"/>
      <c r="N904" s="21" t="n"/>
    </row>
    <row r="905">
      <c r="D905" s="21" t="n"/>
      <c r="E905" s="21" t="n"/>
      <c r="F905" s="21" t="n"/>
      <c r="K905" s="21" t="n"/>
      <c r="L905" s="21" t="n"/>
      <c r="M905" s="21" t="n"/>
      <c r="N905" s="21" t="n"/>
    </row>
    <row r="906">
      <c r="D906" s="21" t="n"/>
      <c r="E906" s="21" t="n"/>
      <c r="F906" s="21" t="n"/>
      <c r="K906" s="21" t="n"/>
      <c r="L906" s="21" t="n"/>
      <c r="M906" s="21" t="n"/>
      <c r="N906" s="21" t="n"/>
    </row>
    <row r="907">
      <c r="D907" s="21" t="n"/>
      <c r="E907" s="21" t="n"/>
      <c r="F907" s="21" t="n"/>
      <c r="K907" s="21" t="n"/>
      <c r="L907" s="21" t="n"/>
      <c r="M907" s="21" t="n"/>
      <c r="N907" s="21" t="n"/>
    </row>
    <row r="908">
      <c r="D908" s="21" t="n"/>
      <c r="E908" s="21" t="n"/>
      <c r="F908" s="21" t="n"/>
      <c r="K908" s="21" t="n"/>
      <c r="L908" s="21" t="n"/>
      <c r="M908" s="21" t="n"/>
      <c r="N908" s="21" t="n"/>
    </row>
    <row r="909">
      <c r="D909" s="21" t="n"/>
      <c r="E909" s="21" t="n"/>
      <c r="F909" s="21" t="n"/>
      <c r="K909" s="21" t="n"/>
      <c r="L909" s="21" t="n"/>
      <c r="M909" s="21" t="n"/>
      <c r="N909" s="21" t="n"/>
    </row>
    <row r="910">
      <c r="D910" s="21" t="n"/>
      <c r="E910" s="21" t="n"/>
      <c r="F910" s="21" t="n"/>
      <c r="K910" s="21" t="n"/>
      <c r="L910" s="21" t="n"/>
      <c r="M910" s="21" t="n"/>
      <c r="N910" s="21" t="n"/>
    </row>
    <row r="911">
      <c r="D911" s="21" t="n"/>
      <c r="E911" s="21" t="n"/>
      <c r="F911" s="21" t="n"/>
      <c r="K911" s="21" t="n"/>
      <c r="L911" s="21" t="n"/>
      <c r="M911" s="21" t="n"/>
      <c r="N911" s="21" t="n"/>
    </row>
    <row r="912">
      <c r="D912" s="21" t="n"/>
      <c r="E912" s="21" t="n"/>
      <c r="F912" s="21" t="n"/>
      <c r="K912" s="21" t="n"/>
      <c r="L912" s="21" t="n"/>
      <c r="M912" s="21" t="n"/>
      <c r="N912" s="21" t="n"/>
    </row>
    <row r="913">
      <c r="D913" s="21" t="n"/>
      <c r="E913" s="21" t="n"/>
      <c r="F913" s="21" t="n"/>
      <c r="K913" s="21" t="n"/>
      <c r="L913" s="21" t="n"/>
      <c r="M913" s="21" t="n"/>
      <c r="N913" s="21" t="n"/>
    </row>
    <row r="914">
      <c r="D914" s="21" t="n"/>
      <c r="E914" s="21" t="n"/>
      <c r="F914" s="21" t="n"/>
      <c r="K914" s="21" t="n"/>
      <c r="L914" s="21" t="n"/>
      <c r="M914" s="21" t="n"/>
      <c r="N914" s="21" t="n"/>
    </row>
    <row r="915">
      <c r="D915" s="21" t="n"/>
      <c r="E915" s="21" t="n"/>
      <c r="F915" s="21" t="n"/>
      <c r="K915" s="21" t="n"/>
      <c r="L915" s="21" t="n"/>
      <c r="M915" s="21" t="n"/>
      <c r="N915" s="21" t="n"/>
    </row>
    <row r="916">
      <c r="D916" s="21" t="n"/>
      <c r="E916" s="21" t="n"/>
      <c r="F916" s="21" t="n"/>
      <c r="K916" s="21" t="n"/>
      <c r="L916" s="21" t="n"/>
      <c r="M916" s="21" t="n"/>
      <c r="N916" s="21" t="n"/>
    </row>
    <row r="917">
      <c r="D917" s="21" t="n"/>
      <c r="E917" s="21" t="n"/>
      <c r="F917" s="21" t="n"/>
      <c r="K917" s="21" t="n"/>
      <c r="L917" s="21" t="n"/>
      <c r="M917" s="21" t="n"/>
      <c r="N917" s="21" t="n"/>
    </row>
    <row r="918">
      <c r="D918" s="21" t="n"/>
      <c r="E918" s="21" t="n"/>
      <c r="F918" s="21" t="n"/>
      <c r="K918" s="21" t="n"/>
      <c r="L918" s="21" t="n"/>
      <c r="M918" s="21" t="n"/>
      <c r="N918" s="21" t="n"/>
    </row>
    <row r="919">
      <c r="D919" s="21" t="n"/>
      <c r="E919" s="21" t="n"/>
      <c r="F919" s="21" t="n"/>
      <c r="K919" s="21" t="n"/>
      <c r="L919" s="21" t="n"/>
      <c r="M919" s="21" t="n"/>
      <c r="N919" s="21" t="n"/>
    </row>
    <row r="920">
      <c r="D920" s="21" t="n"/>
      <c r="E920" s="21" t="n"/>
      <c r="F920" s="21" t="n"/>
      <c r="K920" s="21" t="n"/>
      <c r="L920" s="21" t="n"/>
      <c r="M920" s="21" t="n"/>
      <c r="N920" s="21" t="n"/>
    </row>
    <row r="921">
      <c r="D921" s="21" t="n"/>
      <c r="E921" s="21" t="n"/>
      <c r="F921" s="21" t="n"/>
      <c r="K921" s="21" t="n"/>
      <c r="L921" s="21" t="n"/>
      <c r="M921" s="21" t="n"/>
      <c r="N921" s="21" t="n"/>
    </row>
    <row r="922">
      <c r="D922" s="21" t="n"/>
      <c r="E922" s="21" t="n"/>
      <c r="F922" s="21" t="n"/>
      <c r="K922" s="21" t="n"/>
      <c r="L922" s="21" t="n"/>
      <c r="M922" s="21" t="n"/>
      <c r="N922" s="21" t="n"/>
    </row>
    <row r="923">
      <c r="D923" s="21" t="n"/>
      <c r="E923" s="21" t="n"/>
      <c r="F923" s="21" t="n"/>
      <c r="K923" s="21" t="n"/>
      <c r="L923" s="21" t="n"/>
      <c r="M923" s="21" t="n"/>
      <c r="N923" s="21" t="n"/>
    </row>
    <row r="924">
      <c r="D924" s="21" t="n"/>
      <c r="E924" s="21" t="n"/>
      <c r="F924" s="21" t="n"/>
      <c r="K924" s="21" t="n"/>
      <c r="L924" s="21" t="n"/>
      <c r="M924" s="21" t="n"/>
      <c r="N924" s="21" t="n"/>
    </row>
    <row r="925">
      <c r="D925" s="21" t="n"/>
      <c r="E925" s="21" t="n"/>
      <c r="F925" s="21" t="n"/>
      <c r="K925" s="21" t="n"/>
      <c r="L925" s="21" t="n"/>
      <c r="M925" s="21" t="n"/>
      <c r="N925" s="21" t="n"/>
    </row>
    <row r="926">
      <c r="D926" s="21" t="n"/>
      <c r="E926" s="21" t="n"/>
      <c r="F926" s="21" t="n"/>
      <c r="K926" s="21" t="n"/>
      <c r="L926" s="21" t="n"/>
      <c r="M926" s="21" t="n"/>
      <c r="N926" s="21" t="n"/>
    </row>
    <row r="927">
      <c r="D927" s="21" t="n"/>
      <c r="E927" s="21" t="n"/>
      <c r="F927" s="21" t="n"/>
      <c r="K927" s="21" t="n"/>
      <c r="L927" s="21" t="n"/>
      <c r="M927" s="21" t="n"/>
      <c r="N927" s="21" t="n"/>
    </row>
    <row r="928">
      <c r="D928" s="21" t="n"/>
      <c r="E928" s="21" t="n"/>
      <c r="F928" s="21" t="n"/>
      <c r="K928" s="21" t="n"/>
      <c r="L928" s="21" t="n"/>
      <c r="M928" s="21" t="n"/>
      <c r="N928" s="21" t="n"/>
    </row>
    <row r="929">
      <c r="D929" s="21" t="n"/>
      <c r="E929" s="21" t="n"/>
      <c r="F929" s="21" t="n"/>
      <c r="K929" s="21" t="n"/>
      <c r="L929" s="21" t="n"/>
      <c r="M929" s="21" t="n"/>
      <c r="N929" s="21" t="n"/>
    </row>
    <row r="930">
      <c r="D930" s="21" t="n"/>
      <c r="E930" s="21" t="n"/>
      <c r="F930" s="21" t="n"/>
      <c r="K930" s="21" t="n"/>
      <c r="L930" s="21" t="n"/>
      <c r="M930" s="21" t="n"/>
      <c r="N930" s="21" t="n"/>
    </row>
    <row r="931">
      <c r="D931" s="21" t="n"/>
      <c r="E931" s="21" t="n"/>
      <c r="F931" s="21" t="n"/>
      <c r="K931" s="21" t="n"/>
      <c r="L931" s="21" t="n"/>
      <c r="M931" s="21" t="n"/>
      <c r="N931" s="21" t="n"/>
    </row>
    <row r="932">
      <c r="D932" s="21" t="n"/>
      <c r="E932" s="21" t="n"/>
      <c r="F932" s="21" t="n"/>
      <c r="K932" s="21" t="n"/>
      <c r="L932" s="21" t="n"/>
      <c r="M932" s="21" t="n"/>
      <c r="N932" s="21" t="n"/>
    </row>
    <row r="933">
      <c r="D933" s="21" t="n"/>
      <c r="E933" s="21" t="n"/>
      <c r="F933" s="21" t="n"/>
      <c r="K933" s="21" t="n"/>
      <c r="L933" s="21" t="n"/>
      <c r="M933" s="21" t="n"/>
      <c r="N933" s="21" t="n"/>
    </row>
    <row r="934">
      <c r="D934" s="21" t="n"/>
      <c r="E934" s="21" t="n"/>
      <c r="F934" s="21" t="n"/>
      <c r="K934" s="21" t="n"/>
      <c r="L934" s="21" t="n"/>
      <c r="M934" s="21" t="n"/>
      <c r="N934" s="21" t="n"/>
    </row>
    <row r="935">
      <c r="D935" s="21" t="n"/>
      <c r="E935" s="21" t="n"/>
      <c r="F935" s="21" t="n"/>
      <c r="K935" s="21" t="n"/>
      <c r="L935" s="21" t="n"/>
      <c r="M935" s="21" t="n"/>
      <c r="N935" s="21" t="n"/>
    </row>
    <row r="936">
      <c r="D936" s="21" t="n"/>
      <c r="E936" s="21" t="n"/>
      <c r="F936" s="21" t="n"/>
      <c r="K936" s="21" t="n"/>
      <c r="L936" s="21" t="n"/>
      <c r="M936" s="21" t="n"/>
      <c r="N936" s="21" t="n"/>
    </row>
    <row r="937">
      <c r="D937" s="21" t="n"/>
      <c r="E937" s="21" t="n"/>
      <c r="F937" s="21" t="n"/>
      <c r="K937" s="21" t="n"/>
      <c r="L937" s="21" t="n"/>
      <c r="M937" s="21" t="n"/>
      <c r="N937" s="21" t="n"/>
    </row>
    <row r="938">
      <c r="D938" s="21" t="n"/>
      <c r="E938" s="21" t="n"/>
      <c r="F938" s="21" t="n"/>
      <c r="K938" s="21" t="n"/>
      <c r="L938" s="21" t="n"/>
      <c r="M938" s="21" t="n"/>
      <c r="N938" s="21" t="n"/>
    </row>
    <row r="939">
      <c r="D939" s="21" t="n"/>
      <c r="E939" s="21" t="n"/>
      <c r="F939" s="21" t="n"/>
      <c r="K939" s="21" t="n"/>
      <c r="L939" s="21" t="n"/>
      <c r="M939" s="21" t="n"/>
      <c r="N939" s="21" t="n"/>
    </row>
    <row r="940">
      <c r="D940" s="21" t="n"/>
      <c r="E940" s="21" t="n"/>
      <c r="F940" s="21" t="n"/>
      <c r="K940" s="21" t="n"/>
      <c r="L940" s="21" t="n"/>
      <c r="M940" s="21" t="n"/>
      <c r="N940" s="21" t="n"/>
    </row>
    <row r="941">
      <c r="D941" s="21" t="n"/>
      <c r="E941" s="21" t="n"/>
      <c r="F941" s="21" t="n"/>
      <c r="K941" s="21" t="n"/>
      <c r="L941" s="21" t="n"/>
      <c r="M941" s="21" t="n"/>
      <c r="N941" s="21" t="n"/>
    </row>
    <row r="942">
      <c r="D942" s="21" t="n"/>
      <c r="E942" s="21" t="n"/>
      <c r="F942" s="21" t="n"/>
      <c r="K942" s="21" t="n"/>
      <c r="L942" s="21" t="n"/>
      <c r="M942" s="21" t="n"/>
      <c r="N942" s="21" t="n"/>
    </row>
    <row r="943">
      <c r="D943" s="21" t="n"/>
      <c r="E943" s="21" t="n"/>
      <c r="F943" s="21" t="n"/>
      <c r="K943" s="21" t="n"/>
      <c r="L943" s="21" t="n"/>
      <c r="M943" s="21" t="n"/>
      <c r="N943" s="21" t="n"/>
    </row>
    <row r="944">
      <c r="D944" s="21" t="n"/>
      <c r="E944" s="21" t="n"/>
      <c r="F944" s="21" t="n"/>
      <c r="K944" s="21" t="n"/>
      <c r="L944" s="21" t="n"/>
      <c r="M944" s="21" t="n"/>
      <c r="N944" s="21" t="n"/>
    </row>
    <row r="945">
      <c r="D945" s="21" t="n"/>
      <c r="E945" s="21" t="n"/>
      <c r="F945" s="21" t="n"/>
      <c r="K945" s="21" t="n"/>
      <c r="L945" s="21" t="n"/>
      <c r="M945" s="21" t="n"/>
      <c r="N945" s="21" t="n"/>
    </row>
    <row r="946">
      <c r="D946" s="21" t="n"/>
      <c r="E946" s="21" t="n"/>
      <c r="F946" s="21" t="n"/>
      <c r="K946" s="21" t="n"/>
      <c r="L946" s="21" t="n"/>
      <c r="M946" s="21" t="n"/>
      <c r="N946" s="21" t="n"/>
    </row>
    <row r="947">
      <c r="D947" s="21" t="n"/>
      <c r="E947" s="21" t="n"/>
      <c r="F947" s="21" t="n"/>
      <c r="K947" s="21" t="n"/>
      <c r="L947" s="21" t="n"/>
      <c r="M947" s="21" t="n"/>
      <c r="N947" s="21" t="n"/>
    </row>
    <row r="948">
      <c r="D948" s="21" t="n"/>
      <c r="E948" s="21" t="n"/>
      <c r="F948" s="21" t="n"/>
      <c r="K948" s="21" t="n"/>
      <c r="L948" s="21" t="n"/>
      <c r="M948" s="21" t="n"/>
      <c r="N948" s="21" t="n"/>
    </row>
    <row r="949">
      <c r="D949" s="21" t="n"/>
      <c r="E949" s="21" t="n"/>
      <c r="F949" s="21" t="n"/>
      <c r="K949" s="21" t="n"/>
      <c r="L949" s="21" t="n"/>
      <c r="M949" s="21" t="n"/>
      <c r="N949" s="21" t="n"/>
    </row>
    <row r="950">
      <c r="D950" s="21" t="n"/>
      <c r="E950" s="21" t="n"/>
      <c r="F950" s="21" t="n"/>
      <c r="K950" s="21" t="n"/>
      <c r="L950" s="21" t="n"/>
      <c r="M950" s="21" t="n"/>
      <c r="N950" s="21" t="n"/>
    </row>
    <row r="951">
      <c r="D951" s="21" t="n"/>
      <c r="E951" s="21" t="n"/>
      <c r="F951" s="21" t="n"/>
      <c r="K951" s="21" t="n"/>
      <c r="L951" s="21" t="n"/>
      <c r="M951" s="21" t="n"/>
      <c r="N951" s="21" t="n"/>
    </row>
    <row r="952">
      <c r="D952" s="21" t="n"/>
      <c r="E952" s="21" t="n"/>
      <c r="F952" s="21" t="n"/>
      <c r="K952" s="21" t="n"/>
      <c r="L952" s="21" t="n"/>
      <c r="M952" s="21" t="n"/>
      <c r="N952" s="21" t="n"/>
    </row>
    <row r="953">
      <c r="D953" s="21" t="n"/>
      <c r="E953" s="21" t="n"/>
      <c r="F953" s="21" t="n"/>
      <c r="K953" s="21" t="n"/>
      <c r="L953" s="21" t="n"/>
      <c r="M953" s="21" t="n"/>
      <c r="N953" s="21" t="n"/>
    </row>
    <row r="954">
      <c r="D954" s="21" t="n"/>
      <c r="E954" s="21" t="n"/>
      <c r="F954" s="21" t="n"/>
      <c r="K954" s="21" t="n"/>
      <c r="L954" s="21" t="n"/>
      <c r="M954" s="21" t="n"/>
      <c r="N954" s="21" t="n"/>
    </row>
    <row r="955">
      <c r="D955" s="21" t="n"/>
      <c r="E955" s="21" t="n"/>
      <c r="F955" s="21" t="n"/>
      <c r="K955" s="21" t="n"/>
      <c r="L955" s="21" t="n"/>
      <c r="M955" s="21" t="n"/>
      <c r="N955" s="21" t="n"/>
    </row>
    <row r="956">
      <c r="D956" s="21" t="n"/>
      <c r="E956" s="21" t="n"/>
      <c r="F956" s="21" t="n"/>
      <c r="K956" s="21" t="n"/>
      <c r="L956" s="21" t="n"/>
      <c r="M956" s="21" t="n"/>
      <c r="N956" s="21" t="n"/>
    </row>
    <row r="957">
      <c r="D957" s="21" t="n"/>
      <c r="E957" s="21" t="n"/>
      <c r="F957" s="21" t="n"/>
      <c r="K957" s="21" t="n"/>
      <c r="L957" s="21" t="n"/>
      <c r="M957" s="21" t="n"/>
      <c r="N957" s="21" t="n"/>
    </row>
    <row r="958">
      <c r="D958" s="21" t="n"/>
      <c r="E958" s="21" t="n"/>
      <c r="F958" s="21" t="n"/>
      <c r="K958" s="21" t="n"/>
      <c r="L958" s="21" t="n"/>
      <c r="M958" s="21" t="n"/>
      <c r="N958" s="21" t="n"/>
    </row>
    <row r="959">
      <c r="D959" s="21" t="n"/>
      <c r="E959" s="21" t="n"/>
      <c r="F959" s="21" t="n"/>
      <c r="K959" s="21" t="n"/>
      <c r="L959" s="21" t="n"/>
      <c r="M959" s="21" t="n"/>
      <c r="N959" s="21" t="n"/>
    </row>
    <row r="960">
      <c r="D960" s="21" t="n"/>
      <c r="E960" s="21" t="n"/>
      <c r="F960" s="21" t="n"/>
      <c r="K960" s="21" t="n"/>
      <c r="L960" s="21" t="n"/>
      <c r="M960" s="21" t="n"/>
      <c r="N960" s="21" t="n"/>
    </row>
    <row r="961">
      <c r="D961" s="21" t="n"/>
      <c r="E961" s="21" t="n"/>
      <c r="F961" s="21" t="n"/>
      <c r="K961" s="21" t="n"/>
      <c r="L961" s="21" t="n"/>
      <c r="M961" s="21" t="n"/>
      <c r="N961" s="21" t="n"/>
    </row>
    <row r="962">
      <c r="D962" s="21" t="n"/>
      <c r="E962" s="21" t="n"/>
      <c r="F962" s="21" t="n"/>
      <c r="K962" s="21" t="n"/>
      <c r="L962" s="21" t="n"/>
      <c r="M962" s="21" t="n"/>
      <c r="N962" s="21" t="n"/>
    </row>
    <row r="963">
      <c r="D963" s="21" t="n"/>
      <c r="E963" s="21" t="n"/>
      <c r="F963" s="21" t="n"/>
      <c r="K963" s="21" t="n"/>
      <c r="L963" s="21" t="n"/>
      <c r="M963" s="21" t="n"/>
      <c r="N963" s="21" t="n"/>
    </row>
    <row r="964">
      <c r="D964" s="21" t="n"/>
      <c r="E964" s="21" t="n"/>
      <c r="F964" s="21" t="n"/>
      <c r="K964" s="21" t="n"/>
      <c r="L964" s="21" t="n"/>
      <c r="M964" s="21" t="n"/>
      <c r="N964" s="21" t="n"/>
    </row>
    <row r="965">
      <c r="D965" s="21" t="n"/>
      <c r="E965" s="21" t="n"/>
      <c r="F965" s="21" t="n"/>
      <c r="K965" s="21" t="n"/>
      <c r="L965" s="21" t="n"/>
      <c r="M965" s="21" t="n"/>
      <c r="N965" s="21" t="n"/>
    </row>
    <row r="966">
      <c r="D966" s="21" t="n"/>
      <c r="E966" s="21" t="n"/>
      <c r="F966" s="21" t="n"/>
      <c r="K966" s="21" t="n"/>
      <c r="L966" s="21" t="n"/>
      <c r="M966" s="21" t="n"/>
      <c r="N966" s="21" t="n"/>
    </row>
    <row r="967">
      <c r="D967" s="21" t="n"/>
      <c r="E967" s="21" t="n"/>
      <c r="F967" s="21" t="n"/>
      <c r="K967" s="21" t="n"/>
      <c r="L967" s="21" t="n"/>
      <c r="M967" s="21" t="n"/>
      <c r="N967" s="21" t="n"/>
    </row>
    <row r="968">
      <c r="D968" s="21" t="n"/>
      <c r="E968" s="21" t="n"/>
      <c r="F968" s="21" t="n"/>
      <c r="K968" s="21" t="n"/>
      <c r="L968" s="21" t="n"/>
      <c r="M968" s="21" t="n"/>
      <c r="N968" s="21" t="n"/>
    </row>
    <row r="969">
      <c r="D969" s="21" t="n"/>
      <c r="E969" s="21" t="n"/>
      <c r="F969" s="21" t="n"/>
      <c r="K969" s="21" t="n"/>
      <c r="L969" s="21" t="n"/>
      <c r="M969" s="21" t="n"/>
      <c r="N969" s="21" t="n"/>
    </row>
    <row r="970">
      <c r="D970" s="21" t="n"/>
      <c r="E970" s="21" t="n"/>
      <c r="F970" s="21" t="n"/>
      <c r="K970" s="21" t="n"/>
      <c r="L970" s="21" t="n"/>
      <c r="M970" s="21" t="n"/>
      <c r="N970" s="21" t="n"/>
    </row>
    <row r="971">
      <c r="D971" s="21" t="n"/>
      <c r="E971" s="21" t="n"/>
      <c r="F971" s="21" t="n"/>
      <c r="K971" s="21" t="n"/>
      <c r="L971" s="21" t="n"/>
      <c r="M971" s="21" t="n"/>
      <c r="N971" s="21" t="n"/>
    </row>
    <row r="972">
      <c r="D972" s="21" t="n"/>
      <c r="E972" s="21" t="n"/>
      <c r="F972" s="21" t="n"/>
      <c r="K972" s="21" t="n"/>
      <c r="L972" s="21" t="n"/>
      <c r="M972" s="21" t="n"/>
      <c r="N972" s="21" t="n"/>
    </row>
    <row r="973">
      <c r="D973" s="21" t="n"/>
      <c r="E973" s="21" t="n"/>
      <c r="F973" s="21" t="n"/>
      <c r="K973" s="21" t="n"/>
      <c r="L973" s="21" t="n"/>
      <c r="M973" s="21" t="n"/>
      <c r="N973" s="21" t="n"/>
    </row>
    <row r="974">
      <c r="D974" s="21" t="n"/>
      <c r="E974" s="21" t="n"/>
      <c r="F974" s="21" t="n"/>
      <c r="K974" s="21" t="n"/>
      <c r="L974" s="21" t="n"/>
      <c r="M974" s="21" t="n"/>
      <c r="N974" s="21" t="n"/>
    </row>
    <row r="975">
      <c r="D975" s="21" t="n"/>
      <c r="E975" s="21" t="n"/>
      <c r="F975" s="21" t="n"/>
      <c r="K975" s="21" t="n"/>
      <c r="L975" s="21" t="n"/>
      <c r="M975" s="21" t="n"/>
      <c r="N975" s="21" t="n"/>
    </row>
    <row r="976">
      <c r="D976" s="21" t="n"/>
      <c r="E976" s="21" t="n"/>
      <c r="F976" s="21" t="n"/>
      <c r="K976" s="21" t="n"/>
      <c r="L976" s="21" t="n"/>
      <c r="M976" s="21" t="n"/>
      <c r="N976" s="21" t="n"/>
    </row>
    <row r="977">
      <c r="D977" s="21" t="n"/>
      <c r="E977" s="21" t="n"/>
      <c r="F977" s="21" t="n"/>
      <c r="K977" s="21" t="n"/>
      <c r="L977" s="21" t="n"/>
      <c r="M977" s="21" t="n"/>
      <c r="N977" s="21" t="n"/>
    </row>
    <row r="978">
      <c r="D978" s="21" t="n"/>
      <c r="E978" s="21" t="n"/>
      <c r="F978" s="21" t="n"/>
      <c r="K978" s="21" t="n"/>
      <c r="L978" s="21" t="n"/>
      <c r="M978" s="21" t="n"/>
      <c r="N978" s="21" t="n"/>
    </row>
    <row r="979">
      <c r="D979" s="21" t="n"/>
      <c r="E979" s="21" t="n"/>
      <c r="F979" s="21" t="n"/>
      <c r="K979" s="21" t="n"/>
      <c r="L979" s="21" t="n"/>
      <c r="M979" s="21" t="n"/>
      <c r="N979" s="21" t="n"/>
    </row>
    <row r="980">
      <c r="D980" s="21" t="n"/>
      <c r="E980" s="21" t="n"/>
      <c r="F980" s="21" t="n"/>
      <c r="K980" s="21" t="n"/>
      <c r="L980" s="21" t="n"/>
      <c r="M980" s="21" t="n"/>
      <c r="N980" s="21" t="n"/>
    </row>
    <row r="981">
      <c r="D981" s="21" t="n"/>
      <c r="E981" s="21" t="n"/>
      <c r="F981" s="21" t="n"/>
      <c r="K981" s="21" t="n"/>
      <c r="L981" s="21" t="n"/>
      <c r="M981" s="21" t="n"/>
      <c r="N981" s="21" t="n"/>
    </row>
    <row r="982">
      <c r="D982" s="21" t="n"/>
      <c r="E982" s="21" t="n"/>
      <c r="F982" s="21" t="n"/>
      <c r="K982" s="21" t="n"/>
      <c r="L982" s="21" t="n"/>
      <c r="M982" s="21" t="n"/>
      <c r="N982" s="21" t="n"/>
    </row>
    <row r="983">
      <c r="D983" s="21" t="n"/>
      <c r="E983" s="21" t="n"/>
      <c r="F983" s="21" t="n"/>
      <c r="K983" s="21" t="n"/>
      <c r="L983" s="21" t="n"/>
      <c r="M983" s="21" t="n"/>
      <c r="N983" s="21" t="n"/>
    </row>
    <row r="984">
      <c r="D984" s="21" t="n"/>
      <c r="E984" s="21" t="n"/>
      <c r="F984" s="21" t="n"/>
      <c r="K984" s="21" t="n"/>
      <c r="L984" s="21" t="n"/>
      <c r="M984" s="21" t="n"/>
      <c r="N984" s="21" t="n"/>
    </row>
    <row r="985">
      <c r="D985" s="21" t="n"/>
      <c r="E985" s="21" t="n"/>
      <c r="F985" s="21" t="n"/>
      <c r="K985" s="21" t="n"/>
      <c r="L985" s="21" t="n"/>
      <c r="M985" s="21" t="n"/>
      <c r="N985" s="21" t="n"/>
    </row>
    <row r="986">
      <c r="D986" s="21" t="n"/>
      <c r="E986" s="21" t="n"/>
      <c r="F986" s="21" t="n"/>
      <c r="K986" s="21" t="n"/>
      <c r="L986" s="21" t="n"/>
      <c r="M986" s="21" t="n"/>
      <c r="N986" s="21" t="n"/>
    </row>
    <row r="987">
      <c r="D987" s="21" t="n"/>
      <c r="E987" s="21" t="n"/>
      <c r="F987" s="21" t="n"/>
      <c r="K987" s="21" t="n"/>
      <c r="L987" s="21" t="n"/>
      <c r="M987" s="21" t="n"/>
      <c r="N987" s="21" t="n"/>
    </row>
    <row r="988">
      <c r="D988" s="21" t="n"/>
      <c r="E988" s="21" t="n"/>
      <c r="F988" s="21" t="n"/>
      <c r="K988" s="21" t="n"/>
      <c r="L988" s="21" t="n"/>
      <c r="M988" s="21" t="n"/>
      <c r="N988" s="21" t="n"/>
    </row>
    <row r="989">
      <c r="D989" s="21" t="n"/>
      <c r="E989" s="21" t="n"/>
      <c r="F989" s="21" t="n"/>
      <c r="K989" s="21" t="n"/>
      <c r="L989" s="21" t="n"/>
      <c r="M989" s="21" t="n"/>
      <c r="N989" s="21" t="n"/>
    </row>
    <row r="990">
      <c r="D990" s="21" t="n"/>
      <c r="E990" s="21" t="n"/>
      <c r="F990" s="21" t="n"/>
      <c r="K990" s="21" t="n"/>
      <c r="L990" s="21" t="n"/>
      <c r="M990" s="21" t="n"/>
      <c r="N990" s="21" t="n"/>
    </row>
    <row r="991">
      <c r="D991" s="21" t="n"/>
      <c r="E991" s="21" t="n"/>
      <c r="F991" s="21" t="n"/>
      <c r="K991" s="21" t="n"/>
      <c r="L991" s="21" t="n"/>
      <c r="M991" s="21" t="n"/>
      <c r="N991" s="21" t="n"/>
    </row>
    <row r="992">
      <c r="D992" s="21" t="n"/>
      <c r="E992" s="21" t="n"/>
      <c r="F992" s="21" t="n"/>
      <c r="K992" s="21" t="n"/>
      <c r="L992" s="21" t="n"/>
      <c r="M992" s="21" t="n"/>
      <c r="N992" s="21" t="n"/>
    </row>
    <row r="993">
      <c r="D993" s="21" t="n"/>
      <c r="E993" s="21" t="n"/>
      <c r="F993" s="21" t="n"/>
      <c r="K993" s="21" t="n"/>
      <c r="L993" s="21" t="n"/>
      <c r="M993" s="21" t="n"/>
      <c r="N993" s="21" t="n"/>
    </row>
    <row r="994">
      <c r="D994" s="21" t="n"/>
      <c r="E994" s="21" t="n"/>
      <c r="F994" s="21" t="n"/>
      <c r="K994" s="21" t="n"/>
      <c r="L994" s="21" t="n"/>
      <c r="M994" s="21" t="n"/>
      <c r="N994" s="21" t="n"/>
    </row>
    <row r="995">
      <c r="D995" s="21" t="n"/>
      <c r="E995" s="21" t="n"/>
      <c r="F995" s="21" t="n"/>
      <c r="K995" s="21" t="n"/>
      <c r="L995" s="21" t="n"/>
      <c r="M995" s="21" t="n"/>
      <c r="N995" s="21" t="n"/>
    </row>
    <row r="996">
      <c r="D996" s="21" t="n"/>
      <c r="E996" s="21" t="n"/>
      <c r="F996" s="21" t="n"/>
      <c r="K996" s="21" t="n"/>
      <c r="L996" s="21" t="n"/>
      <c r="M996" s="21" t="n"/>
      <c r="N996" s="21" t="n"/>
    </row>
    <row r="997">
      <c r="D997" s="21" t="n"/>
      <c r="E997" s="21" t="n"/>
      <c r="F997" s="21" t="n"/>
      <c r="K997" s="21" t="n"/>
      <c r="L997" s="21" t="n"/>
      <c r="M997" s="21" t="n"/>
      <c r="N997" s="21" t="n"/>
    </row>
    <row r="998">
      <c r="D998" s="21" t="n"/>
      <c r="E998" s="21" t="n"/>
      <c r="F998" s="21" t="n"/>
      <c r="K998" s="21" t="n"/>
      <c r="L998" s="21" t="n"/>
      <c r="M998" s="21" t="n"/>
      <c r="N998" s="21" t="n"/>
    </row>
    <row r="999">
      <c r="D999" s="21" t="n"/>
      <c r="E999" s="21" t="n"/>
      <c r="F999" s="21" t="n"/>
      <c r="K999" s="21" t="n"/>
      <c r="L999" s="21" t="n"/>
      <c r="M999" s="21" t="n"/>
      <c r="N999" s="21" t="n"/>
    </row>
    <row r="1000">
      <c r="D1000" s="21" t="n"/>
      <c r="E1000" s="21" t="n"/>
      <c r="F1000" s="21" t="n"/>
      <c r="K1000" s="21" t="n"/>
      <c r="L1000" s="21" t="n"/>
      <c r="M1000" s="21" t="n"/>
      <c r="N1000" s="21" t="n"/>
    </row>
  </sheetData>
  <dataValidations count="1">
    <dataValidation sqref="M2:M121" showDropDown="0" showInputMessage="0" showErrorMessage="1" allowBlank="1" type="list">
      <formula1>"Pending,Verified"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H11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S.No</t>
        </is>
      </c>
      <c r="B1" s="2" t="inlineStr">
        <is>
          <t>Table Name</t>
        </is>
      </c>
      <c r="C1" s="2" t="inlineStr">
        <is>
          <t>Module</t>
        </is>
      </c>
      <c r="D1" s="2" t="inlineStr">
        <is>
          <t>PMS Relevant</t>
        </is>
      </c>
      <c r="E1" s="2" t="inlineStr">
        <is>
          <t>Questions Affected (Count)</t>
        </is>
      </c>
      <c r="F1" s="2" t="inlineStr">
        <is>
          <t>Affected Question Rows</t>
        </is>
      </c>
      <c r="G1" s="2" t="inlineStr">
        <is>
          <t>Mapped Queries Blocked</t>
        </is>
      </c>
      <c r="H1" s="2" t="inlineStr">
        <is>
          <t>Impact on NL2SQL</t>
        </is>
      </c>
    </row>
    <row r="2">
      <c r="A2" s="6" t="n">
        <v>1</v>
      </c>
      <c r="B2" s="15" t="inlineStr">
        <is>
          <t>tbl_activity_privacy_settings</t>
        </is>
      </c>
      <c r="C2" s="15" t="inlineStr">
        <is>
          <t>Other</t>
        </is>
      </c>
      <c r="D2" s="15" t="inlineStr">
        <is>
          <t>No</t>
        </is>
      </c>
      <c r="E2" s="6" t="n">
        <v>0</v>
      </c>
      <c r="F2" s="15" t="inlineStr">
        <is>
          <t>—</t>
        </is>
      </c>
      <c r="G2" s="6" t="n">
        <v>0</v>
      </c>
      <c r="H2" s="15" t="inlineStr">
        <is>
          <t>Not PMS — no NL2SQL impact</t>
        </is>
      </c>
    </row>
    <row r="3">
      <c r="A3" s="6" t="n">
        <v>2</v>
      </c>
      <c r="B3" s="15" t="inlineStr">
        <is>
          <t>tbl_admin_group_settings</t>
        </is>
      </c>
      <c r="C3" s="15" t="inlineStr">
        <is>
          <t>Other</t>
        </is>
      </c>
      <c r="D3" s="15" t="inlineStr">
        <is>
          <t>No</t>
        </is>
      </c>
      <c r="E3" s="6" t="n">
        <v>0</v>
      </c>
      <c r="F3" s="15" t="inlineStr">
        <is>
          <t>—</t>
        </is>
      </c>
      <c r="G3" s="6" t="n">
        <v>0</v>
      </c>
      <c r="H3" s="15" t="inlineStr">
        <is>
          <t>Not PMS — no NL2SQL impact</t>
        </is>
      </c>
    </row>
    <row r="4">
      <c r="A4" s="6" t="n">
        <v>3</v>
      </c>
      <c r="B4" s="15" t="inlineStr">
        <is>
          <t>tbl_admin_groups</t>
        </is>
      </c>
      <c r="C4" s="15" t="inlineStr">
        <is>
          <t>Other</t>
        </is>
      </c>
      <c r="D4" s="15" t="inlineStr">
        <is>
          <t>No</t>
        </is>
      </c>
      <c r="E4" s="6" t="n">
        <v>0</v>
      </c>
      <c r="F4" s="15" t="inlineStr">
        <is>
          <t>—</t>
        </is>
      </c>
      <c r="G4" s="6" t="n">
        <v>0</v>
      </c>
      <c r="H4" s="15" t="inlineStr">
        <is>
          <t>Not PMS — no NL2SQL impact</t>
        </is>
      </c>
    </row>
    <row r="5">
      <c r="A5" s="6" t="n">
        <v>4</v>
      </c>
      <c r="B5" s="15" t="inlineStr">
        <is>
          <t>tbl_admins</t>
        </is>
      </c>
      <c r="C5" s="15" t="inlineStr">
        <is>
          <t>Other</t>
        </is>
      </c>
      <c r="D5" s="15" t="inlineStr">
        <is>
          <t>No</t>
        </is>
      </c>
      <c r="E5" s="6" t="n">
        <v>0</v>
      </c>
      <c r="F5" s="15" t="inlineStr">
        <is>
          <t>—</t>
        </is>
      </c>
      <c r="G5" s="6" t="n">
        <v>0</v>
      </c>
      <c r="H5" s="15" t="inlineStr">
        <is>
          <t>Not PMS — no NL2SQL impact</t>
        </is>
      </c>
    </row>
    <row r="6">
      <c r="A6" s="6" t="n">
        <v>5</v>
      </c>
      <c r="B6" s="15" t="inlineStr">
        <is>
          <t>tbl_agenda</t>
        </is>
      </c>
      <c r="C6" s="15" t="inlineStr">
        <is>
          <t>Other</t>
        </is>
      </c>
      <c r="D6" s="15" t="inlineStr">
        <is>
          <t>No</t>
        </is>
      </c>
      <c r="E6" s="6" t="n">
        <v>0</v>
      </c>
      <c r="F6" s="15" t="inlineStr">
        <is>
          <t>—</t>
        </is>
      </c>
      <c r="G6" s="6" t="n">
        <v>0</v>
      </c>
      <c r="H6" s="15" t="inlineStr">
        <is>
          <t>Not PMS — no NL2SQL impact</t>
        </is>
      </c>
    </row>
    <row r="7">
      <c r="A7" s="6" t="n">
        <v>6</v>
      </c>
      <c r="B7" s="15" t="inlineStr">
        <is>
          <t>tbl_announcements</t>
        </is>
      </c>
      <c r="C7" s="15" t="inlineStr">
        <is>
          <t>Other</t>
        </is>
      </c>
      <c r="D7" s="15" t="inlineStr">
        <is>
          <t>No</t>
        </is>
      </c>
      <c r="E7" s="6" t="n">
        <v>0</v>
      </c>
      <c r="F7" s="15" t="inlineStr">
        <is>
          <t>—</t>
        </is>
      </c>
      <c r="G7" s="6" t="n">
        <v>0</v>
      </c>
      <c r="H7" s="15" t="inlineStr">
        <is>
          <t>Not PMS — no NL2SQL impact</t>
        </is>
      </c>
    </row>
    <row r="8">
      <c r="A8" s="6" t="n">
        <v>7</v>
      </c>
      <c r="B8" s="15" t="inlineStr">
        <is>
          <t>tbl_area_of_work</t>
        </is>
      </c>
      <c r="C8" s="15" t="inlineStr">
        <is>
          <t>Other</t>
        </is>
      </c>
      <c r="D8" s="15" t="inlineStr">
        <is>
          <t>No</t>
        </is>
      </c>
      <c r="E8" s="6" t="n">
        <v>0</v>
      </c>
      <c r="F8" s="15" t="inlineStr">
        <is>
          <t>—</t>
        </is>
      </c>
      <c r="G8" s="6" t="n">
        <v>0</v>
      </c>
      <c r="H8" s="15" t="inlineStr">
        <is>
          <t>Not PMS — no NL2SQL impact</t>
        </is>
      </c>
    </row>
    <row r="9">
      <c r="A9" s="6" t="n">
        <v>8</v>
      </c>
      <c r="B9" s="15" t="inlineStr">
        <is>
          <t>tbl_available_for_info</t>
        </is>
      </c>
      <c r="C9" s="15" t="inlineStr">
        <is>
          <t>Other</t>
        </is>
      </c>
      <c r="D9" s="15" t="inlineStr">
        <is>
          <t>No</t>
        </is>
      </c>
      <c r="E9" s="6" t="n">
        <v>0</v>
      </c>
      <c r="F9" s="15" t="inlineStr">
        <is>
          <t>—</t>
        </is>
      </c>
      <c r="G9" s="6" t="n">
        <v>0</v>
      </c>
      <c r="H9" s="15" t="inlineStr">
        <is>
          <t>Not PMS — no NL2SQL impact</t>
        </is>
      </c>
    </row>
    <row r="10">
      <c r="A10" s="6" t="n">
        <v>9</v>
      </c>
      <c r="B10" s="15" t="inlineStr">
        <is>
          <t>tbl_available_for_info_desc</t>
        </is>
      </c>
      <c r="C10" s="15" t="inlineStr">
        <is>
          <t>Other</t>
        </is>
      </c>
      <c r="D10" s="15" t="inlineStr">
        <is>
          <t>No</t>
        </is>
      </c>
      <c r="E10" s="6" t="n">
        <v>0</v>
      </c>
      <c r="F10" s="15" t="inlineStr">
        <is>
          <t>—</t>
        </is>
      </c>
      <c r="G10" s="6" t="n">
        <v>0</v>
      </c>
      <c r="H10" s="15" t="inlineStr">
        <is>
          <t>Not PMS — no NL2SQL impact</t>
        </is>
      </c>
    </row>
    <row r="11">
      <c r="A11" s="6" t="n">
        <v>10</v>
      </c>
      <c r="B11" s="15" t="inlineStr">
        <is>
          <t>tbl_batch_notifications</t>
        </is>
      </c>
      <c r="C11" s="15" t="inlineStr">
        <is>
          <t>Other</t>
        </is>
      </c>
      <c r="D11" s="15" t="inlineStr">
        <is>
          <t>No</t>
        </is>
      </c>
      <c r="E11" s="6" t="n">
        <v>0</v>
      </c>
      <c r="F11" s="15" t="inlineStr">
        <is>
          <t>—</t>
        </is>
      </c>
      <c r="G11" s="6" t="n">
        <v>0</v>
      </c>
      <c r="H11" s="15" t="inlineStr">
        <is>
          <t>Not PMS — no NL2SQL impact</t>
        </is>
      </c>
    </row>
    <row r="12">
      <c r="A12" s="6" t="n">
        <v>11</v>
      </c>
      <c r="B12" s="15" t="inlineStr">
        <is>
          <t>tbl_bulletin</t>
        </is>
      </c>
      <c r="C12" s="15" t="inlineStr">
        <is>
          <t>Content</t>
        </is>
      </c>
      <c r="D12" s="15" t="inlineStr">
        <is>
          <t>No</t>
        </is>
      </c>
      <c r="E12" s="6" t="n">
        <v>0</v>
      </c>
      <c r="F12" s="15" t="inlineStr">
        <is>
          <t>—</t>
        </is>
      </c>
      <c r="G12" s="6" t="n">
        <v>0</v>
      </c>
      <c r="H12" s="15" t="inlineStr">
        <is>
          <t>Not PMS — no NL2SQL impact</t>
        </is>
      </c>
    </row>
    <row r="13">
      <c r="A13" s="6" t="n">
        <v>12</v>
      </c>
      <c r="B13" s="15" t="inlineStr">
        <is>
          <t>tbl_bulletin_bookmark</t>
        </is>
      </c>
      <c r="C13" s="15" t="inlineStr">
        <is>
          <t>Content</t>
        </is>
      </c>
      <c r="D13" s="15" t="inlineStr">
        <is>
          <t>No</t>
        </is>
      </c>
      <c r="E13" s="6" t="n">
        <v>0</v>
      </c>
      <c r="F13" s="15" t="inlineStr">
        <is>
          <t>—</t>
        </is>
      </c>
      <c r="G13" s="6" t="n">
        <v>0</v>
      </c>
      <c r="H13" s="15" t="inlineStr">
        <is>
          <t>Not PMS — no NL2SQL impact</t>
        </is>
      </c>
    </row>
    <row r="14">
      <c r="A14" s="6" t="n">
        <v>13</v>
      </c>
      <c r="B14" s="15" t="inlineStr">
        <is>
          <t>tbl_bulletin_category</t>
        </is>
      </c>
      <c r="C14" s="15" t="inlineStr">
        <is>
          <t>Content</t>
        </is>
      </c>
      <c r="D14" s="15" t="inlineStr">
        <is>
          <t>No</t>
        </is>
      </c>
      <c r="E14" s="6" t="n">
        <v>0</v>
      </c>
      <c r="F14" s="15" t="inlineStr">
        <is>
          <t>—</t>
        </is>
      </c>
      <c r="G14" s="6" t="n">
        <v>0</v>
      </c>
      <c r="H14" s="15" t="inlineStr">
        <is>
          <t>Not PMS — no NL2SQL impact</t>
        </is>
      </c>
    </row>
    <row r="15">
      <c r="A15" s="6" t="n">
        <v>14</v>
      </c>
      <c r="B15" s="15" t="inlineStr">
        <is>
          <t>tbl_bulletin_comment</t>
        </is>
      </c>
      <c r="C15" s="15" t="inlineStr">
        <is>
          <t>Content</t>
        </is>
      </c>
      <c r="D15" s="15" t="inlineStr">
        <is>
          <t>No</t>
        </is>
      </c>
      <c r="E15" s="6" t="n">
        <v>0</v>
      </c>
      <c r="F15" s="15" t="inlineStr">
        <is>
          <t>—</t>
        </is>
      </c>
      <c r="G15" s="6" t="n">
        <v>0</v>
      </c>
      <c r="H15" s="15" t="inlineStr">
        <is>
          <t>Not PMS — no NL2SQL impact</t>
        </is>
      </c>
    </row>
    <row r="16">
      <c r="A16" s="6" t="n">
        <v>15</v>
      </c>
      <c r="B16" s="15" t="inlineStr">
        <is>
          <t>tbl_bulletin_tags</t>
        </is>
      </c>
      <c r="C16" s="15" t="inlineStr">
        <is>
          <t>Content</t>
        </is>
      </c>
      <c r="D16" s="15" t="inlineStr">
        <is>
          <t>No</t>
        </is>
      </c>
      <c r="E16" s="6" t="n">
        <v>0</v>
      </c>
      <c r="F16" s="15" t="inlineStr">
        <is>
          <t>—</t>
        </is>
      </c>
      <c r="G16" s="6" t="n">
        <v>0</v>
      </c>
      <c r="H16" s="15" t="inlineStr">
        <is>
          <t>Not PMS — no NL2SQL impact</t>
        </is>
      </c>
    </row>
    <row r="17">
      <c r="A17" s="6" t="n">
        <v>16</v>
      </c>
      <c r="B17" s="15" t="inlineStr">
        <is>
          <t>tbl_bulletin_tags_mapping</t>
        </is>
      </c>
      <c r="C17" s="15" t="inlineStr">
        <is>
          <t>Content</t>
        </is>
      </c>
      <c r="D17" s="15" t="inlineStr">
        <is>
          <t>No</t>
        </is>
      </c>
      <c r="E17" s="6" t="n">
        <v>0</v>
      </c>
      <c r="F17" s="15" t="inlineStr">
        <is>
          <t>—</t>
        </is>
      </c>
      <c r="G17" s="6" t="n">
        <v>0</v>
      </c>
      <c r="H17" s="15" t="inlineStr">
        <is>
          <t>Not PMS — no NL2SQL impact</t>
        </is>
      </c>
    </row>
    <row r="18">
      <c r="A18" s="6" t="n">
        <v>17</v>
      </c>
      <c r="B18" s="15" t="inlineStr">
        <is>
          <t>tbl_bulletin_views</t>
        </is>
      </c>
      <c r="C18" s="15" t="inlineStr">
        <is>
          <t>Content</t>
        </is>
      </c>
      <c r="D18" s="15" t="inlineStr">
        <is>
          <t>No</t>
        </is>
      </c>
      <c r="E18" s="6" t="n">
        <v>0</v>
      </c>
      <c r="F18" s="15" t="inlineStr">
        <is>
          <t>—</t>
        </is>
      </c>
      <c r="G18" s="6" t="n">
        <v>0</v>
      </c>
      <c r="H18" s="15" t="inlineStr">
        <is>
          <t>Not PMS — no NL2SQL impact</t>
        </is>
      </c>
    </row>
    <row r="19">
      <c r="A19" s="6" t="n">
        <v>18</v>
      </c>
      <c r="B19" s="15" t="inlineStr">
        <is>
          <t>tbl_chat_broadcast_messages</t>
        </is>
      </c>
      <c r="C19" s="15" t="inlineStr">
        <is>
          <t>Chat</t>
        </is>
      </c>
      <c r="D19" s="15" t="inlineStr">
        <is>
          <t>No</t>
        </is>
      </c>
      <c r="E19" s="6" t="n">
        <v>0</v>
      </c>
      <c r="F19" s="15" t="inlineStr">
        <is>
          <t>—</t>
        </is>
      </c>
      <c r="G19" s="6" t="n">
        <v>0</v>
      </c>
      <c r="H19" s="15" t="inlineStr">
        <is>
          <t>Not PMS — no NL2SQL impact</t>
        </is>
      </c>
    </row>
    <row r="20">
      <c r="A20" s="6" t="n">
        <v>19</v>
      </c>
      <c r="B20" s="15" t="inlineStr">
        <is>
          <t>tbl_client_summary_report</t>
        </is>
      </c>
      <c r="C20" s="15" t="inlineStr">
        <is>
          <t>Other</t>
        </is>
      </c>
      <c r="D20" s="15" t="inlineStr">
        <is>
          <t>No</t>
        </is>
      </c>
      <c r="E20" s="6" t="n">
        <v>0</v>
      </c>
      <c r="F20" s="15" t="inlineStr">
        <is>
          <t>—</t>
        </is>
      </c>
      <c r="G20" s="6" t="n">
        <v>0</v>
      </c>
      <c r="H20" s="15" t="inlineStr">
        <is>
          <t>Not PMS — no NL2SQL impact</t>
        </is>
      </c>
    </row>
    <row r="21">
      <c r="A21" s="6" t="n">
        <v>20</v>
      </c>
      <c r="B21" s="15" t="inlineStr">
        <is>
          <t>tbl_cms</t>
        </is>
      </c>
      <c r="C21" s="15" t="inlineStr">
        <is>
          <t>Other</t>
        </is>
      </c>
      <c r="D21" s="15" t="inlineStr">
        <is>
          <t>No</t>
        </is>
      </c>
      <c r="E21" s="6" t="n">
        <v>0</v>
      </c>
      <c r="F21" s="15" t="inlineStr">
        <is>
          <t>—</t>
        </is>
      </c>
      <c r="G21" s="6" t="n">
        <v>0</v>
      </c>
      <c r="H21" s="15" t="inlineStr">
        <is>
          <t>Not PMS — no NL2SQL impact</t>
        </is>
      </c>
    </row>
    <row r="22">
      <c r="A22" s="6" t="n">
        <v>21</v>
      </c>
      <c r="B22" s="15" t="inlineStr">
        <is>
          <t>tbl_comment_likes</t>
        </is>
      </c>
      <c r="C22" s="15" t="inlineStr">
        <is>
          <t>Other</t>
        </is>
      </c>
      <c r="D22" s="15" t="inlineStr">
        <is>
          <t>No</t>
        </is>
      </c>
      <c r="E22" s="6" t="n">
        <v>0</v>
      </c>
      <c r="F22" s="15" t="inlineStr">
        <is>
          <t>—</t>
        </is>
      </c>
      <c r="G22" s="6" t="n">
        <v>0</v>
      </c>
      <c r="H22" s="15" t="inlineStr">
        <is>
          <t>Not PMS — no NL2SQL impact</t>
        </is>
      </c>
    </row>
    <row r="23">
      <c r="A23" s="6" t="n">
        <v>22</v>
      </c>
      <c r="B23" s="15" t="inlineStr">
        <is>
          <t>tbl_contents</t>
        </is>
      </c>
      <c r="C23" s="15" t="inlineStr">
        <is>
          <t>Other</t>
        </is>
      </c>
      <c r="D23" s="15" t="inlineStr">
        <is>
          <t>No</t>
        </is>
      </c>
      <c r="E23" s="6" t="n">
        <v>0</v>
      </c>
      <c r="F23" s="15" t="inlineStr">
        <is>
          <t>—</t>
        </is>
      </c>
      <c r="G23" s="6" t="n">
        <v>0</v>
      </c>
      <c r="H23" s="15" t="inlineStr">
        <is>
          <t>Not PMS — no NL2SQL impact</t>
        </is>
      </c>
    </row>
    <row r="24">
      <c r="A24" s="6" t="n">
        <v>23</v>
      </c>
      <c r="B24" s="15" t="inlineStr">
        <is>
          <t>tbl_contents_desc</t>
        </is>
      </c>
      <c r="C24" s="15" t="inlineStr">
        <is>
          <t>Other</t>
        </is>
      </c>
      <c r="D24" s="15" t="inlineStr">
        <is>
          <t>No</t>
        </is>
      </c>
      <c r="E24" s="6" t="n">
        <v>0</v>
      </c>
      <c r="F24" s="15" t="inlineStr">
        <is>
          <t>—</t>
        </is>
      </c>
      <c r="G24" s="6" t="n">
        <v>0</v>
      </c>
      <c r="H24" s="15" t="inlineStr">
        <is>
          <t>Not PMS — no NL2SQL impact</t>
        </is>
      </c>
    </row>
    <row r="25">
      <c r="A25" s="24" t="n">
        <v>24</v>
      </c>
      <c r="B25" s="25" t="inlineStr">
        <is>
          <t>tbl_estimation_asumption</t>
        </is>
      </c>
      <c r="C25" s="25" t="inlineStr">
        <is>
          <t>Estimation</t>
        </is>
      </c>
      <c r="D25" s="25" t="inlineStr">
        <is>
          <t>Yes</t>
        </is>
      </c>
      <c r="E25" s="24" t="n">
        <v>1</v>
      </c>
      <c r="F25" s="25" t="inlineStr">
        <is>
          <t>96</t>
        </is>
      </c>
      <c r="G25" s="24" t="n">
        <v>1</v>
      </c>
      <c r="H25" s="25" t="inlineStr">
        <is>
          <t>Blocks 1 mapped SQL queries (0 rows)</t>
        </is>
      </c>
    </row>
    <row r="26">
      <c r="A26" s="6" t="n">
        <v>25</v>
      </c>
      <c r="B26" s="15" t="inlineStr">
        <is>
          <t>tbl_estimation_deliverables</t>
        </is>
      </c>
      <c r="C26" s="15" t="inlineStr">
        <is>
          <t>Estimation</t>
        </is>
      </c>
      <c r="D26" s="15" t="inlineStr">
        <is>
          <t>Yes</t>
        </is>
      </c>
      <c r="E26" s="6" t="n">
        <v>0</v>
      </c>
      <c r="F26" s="15" t="inlineStr">
        <is>
          <t>—</t>
        </is>
      </c>
      <c r="G26" s="6" t="n">
        <v>0</v>
      </c>
      <c r="H26" s="15" t="inlineStr">
        <is>
          <t>PMS table — not referenced in questionnaire</t>
        </is>
      </c>
    </row>
    <row r="27">
      <c r="A27" s="24" t="n">
        <v>26</v>
      </c>
      <c r="B27" s="25" t="inlineStr">
        <is>
          <t>tbl_estimation_risks</t>
        </is>
      </c>
      <c r="C27" s="25" t="inlineStr">
        <is>
          <t>Estimation</t>
        </is>
      </c>
      <c r="D27" s="25" t="inlineStr">
        <is>
          <t>Yes</t>
        </is>
      </c>
      <c r="E27" s="24" t="n">
        <v>1</v>
      </c>
      <c r="F27" s="25" t="inlineStr">
        <is>
          <t>97</t>
        </is>
      </c>
      <c r="G27" s="24" t="n">
        <v>1</v>
      </c>
      <c r="H27" s="25" t="inlineStr">
        <is>
          <t>Blocks 1 mapped SQL queries (0 rows)</t>
        </is>
      </c>
    </row>
    <row r="28">
      <c r="A28" s="24" t="n">
        <v>27</v>
      </c>
      <c r="B28" s="25" t="inlineStr">
        <is>
          <t>tbl_estimation_summary</t>
        </is>
      </c>
      <c r="C28" s="25" t="inlineStr">
        <is>
          <t>Estimation</t>
        </is>
      </c>
      <c r="D28" s="25" t="inlineStr">
        <is>
          <t>Yes</t>
        </is>
      </c>
      <c r="E28" s="24" t="n">
        <v>1</v>
      </c>
      <c r="F28" s="25" t="inlineStr">
        <is>
          <t>95</t>
        </is>
      </c>
      <c r="G28" s="24" t="n">
        <v>1</v>
      </c>
      <c r="H28" s="25" t="inlineStr">
        <is>
          <t>Blocks 1 mapped SQL queries (0 rows)</t>
        </is>
      </c>
    </row>
    <row r="29">
      <c r="A29" s="6" t="n">
        <v>28</v>
      </c>
      <c r="B29" s="15" t="inlineStr">
        <is>
          <t>tbl_follow</t>
        </is>
      </c>
      <c r="C29" s="15" t="inlineStr">
        <is>
          <t>Other</t>
        </is>
      </c>
      <c r="D29" s="15" t="inlineStr">
        <is>
          <t>No</t>
        </is>
      </c>
      <c r="E29" s="6" t="n">
        <v>0</v>
      </c>
      <c r="F29" s="15" t="inlineStr">
        <is>
          <t>—</t>
        </is>
      </c>
      <c r="G29" s="6" t="n">
        <v>0</v>
      </c>
      <c r="H29" s="15" t="inlineStr">
        <is>
          <t>Not PMS — no NL2SQL impact</t>
        </is>
      </c>
    </row>
    <row r="30">
      <c r="A30" s="6" t="n">
        <v>29</v>
      </c>
      <c r="B30" s="15" t="inlineStr">
        <is>
          <t>tbl_group_task_income_var</t>
        </is>
      </c>
      <c r="C30" s="15" t="inlineStr">
        <is>
          <t>Tasks</t>
        </is>
      </c>
      <c r="D30" s="15" t="inlineStr">
        <is>
          <t>Yes</t>
        </is>
      </c>
      <c r="E30" s="6" t="n">
        <v>0</v>
      </c>
      <c r="F30" s="15" t="inlineStr">
        <is>
          <t>—</t>
        </is>
      </c>
      <c r="G30" s="6" t="n">
        <v>0</v>
      </c>
      <c r="H30" s="15" t="inlineStr">
        <is>
          <t>PMS table — not referenced in questionnaire</t>
        </is>
      </c>
    </row>
    <row r="31">
      <c r="A31" s="6" t="n">
        <v>30</v>
      </c>
      <c r="B31" s="15" t="inlineStr">
        <is>
          <t>tbl_group_types</t>
        </is>
      </c>
      <c r="C31" s="15" t="inlineStr">
        <is>
          <t>Other</t>
        </is>
      </c>
      <c r="D31" s="15" t="inlineStr">
        <is>
          <t>No</t>
        </is>
      </c>
      <c r="E31" s="6" t="n">
        <v>0</v>
      </c>
      <c r="F31" s="15" t="inlineStr">
        <is>
          <t>—</t>
        </is>
      </c>
      <c r="G31" s="6" t="n">
        <v>0</v>
      </c>
      <c r="H31" s="15" t="inlineStr">
        <is>
          <t>Not PMS — no NL2SQL impact</t>
        </is>
      </c>
    </row>
    <row r="32">
      <c r="A32" s="6" t="n">
        <v>31</v>
      </c>
      <c r="B32" s="15" t="inlineStr">
        <is>
          <t>tbl_group_types_desc</t>
        </is>
      </c>
      <c r="C32" s="15" t="inlineStr">
        <is>
          <t>Other</t>
        </is>
      </c>
      <c r="D32" s="15" t="inlineStr">
        <is>
          <t>No</t>
        </is>
      </c>
      <c r="E32" s="6" t="n">
        <v>0</v>
      </c>
      <c r="F32" s="15" t="inlineStr">
        <is>
          <t>—</t>
        </is>
      </c>
      <c r="G32" s="6" t="n">
        <v>0</v>
      </c>
      <c r="H32" s="15" t="inlineStr">
        <is>
          <t>Not PMS — no NL2SQL impact</t>
        </is>
      </c>
    </row>
    <row r="33">
      <c r="A33" s="6" t="n">
        <v>32</v>
      </c>
      <c r="B33" s="15" t="inlineStr">
        <is>
          <t>tbl_ims</t>
        </is>
      </c>
      <c r="C33" s="15" t="inlineStr">
        <is>
          <t>Other</t>
        </is>
      </c>
      <c r="D33" s="15" t="inlineStr">
        <is>
          <t>No</t>
        </is>
      </c>
      <c r="E33" s="6" t="n">
        <v>0</v>
      </c>
      <c r="F33" s="15" t="inlineStr">
        <is>
          <t>—</t>
        </is>
      </c>
      <c r="G33" s="6" t="n">
        <v>0</v>
      </c>
      <c r="H33" s="15" t="inlineStr">
        <is>
          <t>Not PMS — no NL2SQL impact</t>
        </is>
      </c>
    </row>
    <row r="34">
      <c r="A34" s="6" t="n">
        <v>33</v>
      </c>
      <c r="B34" s="15" t="inlineStr">
        <is>
          <t>tbl_ims_desc</t>
        </is>
      </c>
      <c r="C34" s="15" t="inlineStr">
        <is>
          <t>Other</t>
        </is>
      </c>
      <c r="D34" s="15" t="inlineStr">
        <is>
          <t>No</t>
        </is>
      </c>
      <c r="E34" s="6" t="n">
        <v>0</v>
      </c>
      <c r="F34" s="15" t="inlineStr">
        <is>
          <t>—</t>
        </is>
      </c>
      <c r="G34" s="6" t="n">
        <v>0</v>
      </c>
      <c r="H34" s="15" t="inlineStr">
        <is>
          <t>Not PMS — no NL2SQL impact</t>
        </is>
      </c>
    </row>
    <row r="35">
      <c r="A35" s="6" t="n">
        <v>34</v>
      </c>
      <c r="B35" s="15" t="inlineStr">
        <is>
          <t>tbl_ipfilter</t>
        </is>
      </c>
      <c r="C35" s="15" t="inlineStr">
        <is>
          <t>Other</t>
        </is>
      </c>
      <c r="D35" s="15" t="inlineStr">
        <is>
          <t>No</t>
        </is>
      </c>
      <c r="E35" s="6" t="n">
        <v>0</v>
      </c>
      <c r="F35" s="15" t="inlineStr">
        <is>
          <t>—</t>
        </is>
      </c>
      <c r="G35" s="6" t="n">
        <v>0</v>
      </c>
      <c r="H35" s="15" t="inlineStr">
        <is>
          <t>Not PMS — no NL2SQL impact</t>
        </is>
      </c>
    </row>
    <row r="36">
      <c r="A36" s="6" t="n">
        <v>35</v>
      </c>
      <c r="B36" s="15" t="inlineStr">
        <is>
          <t>tbl_ipignorelist</t>
        </is>
      </c>
      <c r="C36" s="15" t="inlineStr">
        <is>
          <t>Other</t>
        </is>
      </c>
      <c r="D36" s="15" t="inlineStr">
        <is>
          <t>No</t>
        </is>
      </c>
      <c r="E36" s="6" t="n">
        <v>0</v>
      </c>
      <c r="F36" s="15" t="inlineStr">
        <is>
          <t>—</t>
        </is>
      </c>
      <c r="G36" s="6" t="n">
        <v>0</v>
      </c>
      <c r="H36" s="15" t="inlineStr">
        <is>
          <t>Not PMS — no NL2SQL impact</t>
        </is>
      </c>
    </row>
    <row r="37">
      <c r="A37" s="6" t="n">
        <v>36</v>
      </c>
      <c r="B37" s="15" t="inlineStr">
        <is>
          <t>tbl_iplist</t>
        </is>
      </c>
      <c r="C37" s="15" t="inlineStr">
        <is>
          <t>Other</t>
        </is>
      </c>
      <c r="D37" s="15" t="inlineStr">
        <is>
          <t>No</t>
        </is>
      </c>
      <c r="E37" s="6" t="n">
        <v>0</v>
      </c>
      <c r="F37" s="15" t="inlineStr">
        <is>
          <t>—</t>
        </is>
      </c>
      <c r="G37" s="6" t="n">
        <v>0</v>
      </c>
      <c r="H37" s="15" t="inlineStr">
        <is>
          <t>Not PMS — no NL2SQL impact</t>
        </is>
      </c>
    </row>
    <row r="38">
      <c r="A38" s="6" t="n">
        <v>37</v>
      </c>
      <c r="B38" s="15" t="inlineStr">
        <is>
          <t>tbl_mails_backup</t>
        </is>
      </c>
      <c r="C38" s="15" t="inlineStr">
        <is>
          <t>Other</t>
        </is>
      </c>
      <c r="D38" s="15" t="inlineStr">
        <is>
          <t>No</t>
        </is>
      </c>
      <c r="E38" s="6" t="n">
        <v>0</v>
      </c>
      <c r="F38" s="15" t="inlineStr">
        <is>
          <t>—</t>
        </is>
      </c>
      <c r="G38" s="6" t="n">
        <v>0</v>
      </c>
      <c r="H38" s="15" t="inlineStr">
        <is>
          <t>Not PMS — no NL2SQL impact</t>
        </is>
      </c>
    </row>
    <row r="39">
      <c r="A39" s="6" t="n">
        <v>38</v>
      </c>
      <c r="B39" s="15" t="inlineStr">
        <is>
          <t>tbl_mails_desc_live</t>
        </is>
      </c>
      <c r="C39" s="15" t="inlineStr">
        <is>
          <t>Other</t>
        </is>
      </c>
      <c r="D39" s="15" t="inlineStr">
        <is>
          <t>No</t>
        </is>
      </c>
      <c r="E39" s="6" t="n">
        <v>0</v>
      </c>
      <c r="F39" s="15" t="inlineStr">
        <is>
          <t>—</t>
        </is>
      </c>
      <c r="G39" s="6" t="n">
        <v>0</v>
      </c>
      <c r="H39" s="15" t="inlineStr">
        <is>
          <t>Not PMS — no NL2SQL impact</t>
        </is>
      </c>
    </row>
    <row r="40">
      <c r="A40" s="6" t="n">
        <v>39</v>
      </c>
      <c r="B40" s="15" t="inlineStr">
        <is>
          <t>tbl_mails_live</t>
        </is>
      </c>
      <c r="C40" s="15" t="inlineStr">
        <is>
          <t>Other</t>
        </is>
      </c>
      <c r="D40" s="15" t="inlineStr">
        <is>
          <t>No</t>
        </is>
      </c>
      <c r="E40" s="6" t="n">
        <v>0</v>
      </c>
      <c r="F40" s="15" t="inlineStr">
        <is>
          <t>—</t>
        </is>
      </c>
      <c r="G40" s="6" t="n">
        <v>0</v>
      </c>
      <c r="H40" s="15" t="inlineStr">
        <is>
          <t>Not PMS — no NL2SQL impact</t>
        </is>
      </c>
    </row>
    <row r="41">
      <c r="A41" s="6" t="n">
        <v>40</v>
      </c>
      <c r="B41" s="15" t="inlineStr">
        <is>
          <t>tbl_meta</t>
        </is>
      </c>
      <c r="C41" s="15" t="inlineStr">
        <is>
          <t>Other</t>
        </is>
      </c>
      <c r="D41" s="15" t="inlineStr">
        <is>
          <t>No</t>
        </is>
      </c>
      <c r="E41" s="6" t="n">
        <v>0</v>
      </c>
      <c r="F41" s="15" t="inlineStr">
        <is>
          <t>—</t>
        </is>
      </c>
      <c r="G41" s="6" t="n">
        <v>0</v>
      </c>
      <c r="H41" s="15" t="inlineStr">
        <is>
          <t>Not PMS — no NL2SQL impact</t>
        </is>
      </c>
    </row>
    <row r="42">
      <c r="A42" s="6" t="n">
        <v>41</v>
      </c>
      <c r="B42" s="15" t="inlineStr">
        <is>
          <t>tbl_meta_desc</t>
        </is>
      </c>
      <c r="C42" s="15" t="inlineStr">
        <is>
          <t>Other</t>
        </is>
      </c>
      <c r="D42" s="15" t="inlineStr">
        <is>
          <t>No</t>
        </is>
      </c>
      <c r="E42" s="6" t="n">
        <v>0</v>
      </c>
      <c r="F42" s="15" t="inlineStr">
        <is>
          <t>—</t>
        </is>
      </c>
      <c r="G42" s="6" t="n">
        <v>0</v>
      </c>
      <c r="H42" s="15" t="inlineStr">
        <is>
          <t>Not PMS — no NL2SQL impact</t>
        </is>
      </c>
    </row>
    <row r="43">
      <c r="A43" s="6" t="n">
        <v>42</v>
      </c>
      <c r="B43" s="15" t="inlineStr">
        <is>
          <t>tbl_notes</t>
        </is>
      </c>
      <c r="C43" s="15" t="inlineStr">
        <is>
          <t>Other</t>
        </is>
      </c>
      <c r="D43" s="15" t="inlineStr">
        <is>
          <t>No</t>
        </is>
      </c>
      <c r="E43" s="6" t="n">
        <v>0</v>
      </c>
      <c r="F43" s="15" t="inlineStr">
        <is>
          <t>—</t>
        </is>
      </c>
      <c r="G43" s="6" t="n">
        <v>0</v>
      </c>
      <c r="H43" s="15" t="inlineStr">
        <is>
          <t>Not PMS — no NL2SQL impact</t>
        </is>
      </c>
    </row>
    <row r="44">
      <c r="A44" s="6" t="n">
        <v>43</v>
      </c>
      <c r="B44" s="15" t="inlineStr">
        <is>
          <t>tbl_onlyoffice_file_logs</t>
        </is>
      </c>
      <c r="C44" s="15" t="inlineStr">
        <is>
          <t>Other</t>
        </is>
      </c>
      <c r="D44" s="15" t="inlineStr">
        <is>
          <t>No</t>
        </is>
      </c>
      <c r="E44" s="6" t="n">
        <v>0</v>
      </c>
      <c r="F44" s="15" t="inlineStr">
        <is>
          <t>—</t>
        </is>
      </c>
      <c r="G44" s="6" t="n">
        <v>0</v>
      </c>
      <c r="H44" s="15" t="inlineStr">
        <is>
          <t>Not PMS — no NL2SQL impact</t>
        </is>
      </c>
    </row>
    <row r="45">
      <c r="A45" s="6" t="n">
        <v>44</v>
      </c>
      <c r="B45" s="15" t="inlineStr">
        <is>
          <t>tbl_opportunity</t>
        </is>
      </c>
      <c r="C45" s="15" t="inlineStr">
        <is>
          <t>Other</t>
        </is>
      </c>
      <c r="D45" s="15" t="inlineStr">
        <is>
          <t>No</t>
        </is>
      </c>
      <c r="E45" s="6" t="n">
        <v>0</v>
      </c>
      <c r="F45" s="15" t="inlineStr">
        <is>
          <t>—</t>
        </is>
      </c>
      <c r="G45" s="6" t="n">
        <v>0</v>
      </c>
      <c r="H45" s="15" t="inlineStr">
        <is>
          <t>Not PMS — no NL2SQL impact</t>
        </is>
      </c>
    </row>
    <row r="46">
      <c r="A46" s="6" t="n">
        <v>45</v>
      </c>
      <c r="B46" s="15" t="inlineStr">
        <is>
          <t>tbl_opportunity_history</t>
        </is>
      </c>
      <c r="C46" s="15" t="inlineStr">
        <is>
          <t>Other</t>
        </is>
      </c>
      <c r="D46" s="15" t="inlineStr">
        <is>
          <t>No</t>
        </is>
      </c>
      <c r="E46" s="6" t="n">
        <v>0</v>
      </c>
      <c r="F46" s="15" t="inlineStr">
        <is>
          <t>—</t>
        </is>
      </c>
      <c r="G46" s="6" t="n">
        <v>0</v>
      </c>
      <c r="H46" s="15" t="inlineStr">
        <is>
          <t>Not PMS — no NL2SQL impact</t>
        </is>
      </c>
    </row>
    <row r="47">
      <c r="A47" s="6" t="n">
        <v>46</v>
      </c>
      <c r="B47" s="15" t="inlineStr">
        <is>
          <t>tbl_opportunity_tangible</t>
        </is>
      </c>
      <c r="C47" s="15" t="inlineStr">
        <is>
          <t>Other</t>
        </is>
      </c>
      <c r="D47" s="15" t="inlineStr">
        <is>
          <t>No</t>
        </is>
      </c>
      <c r="E47" s="6" t="n">
        <v>0</v>
      </c>
      <c r="F47" s="15" t="inlineStr">
        <is>
          <t>—</t>
        </is>
      </c>
      <c r="G47" s="6" t="n">
        <v>0</v>
      </c>
      <c r="H47" s="15" t="inlineStr">
        <is>
          <t>Not PMS — no NL2SQL impact</t>
        </is>
      </c>
    </row>
    <row r="48">
      <c r="A48" s="6" t="n">
        <v>47</v>
      </c>
      <c r="B48" s="15" t="inlineStr">
        <is>
          <t>tbl_photos_users</t>
        </is>
      </c>
      <c r="C48" s="15" t="inlineStr">
        <is>
          <t>Users</t>
        </is>
      </c>
      <c r="D48" s="15" t="inlineStr">
        <is>
          <t>No</t>
        </is>
      </c>
      <c r="E48" s="6" t="n">
        <v>0</v>
      </c>
      <c r="F48" s="15" t="inlineStr">
        <is>
          <t>—</t>
        </is>
      </c>
      <c r="G48" s="6" t="n">
        <v>0</v>
      </c>
      <c r="H48" s="15" t="inlineStr">
        <is>
          <t>Not PMS — no NL2SQL impact</t>
        </is>
      </c>
    </row>
    <row r="49">
      <c r="A49" s="6" t="n">
        <v>48</v>
      </c>
      <c r="B49" s="15" t="inlineStr">
        <is>
          <t>tbl_privacy_rules</t>
        </is>
      </c>
      <c r="C49" s="15" t="inlineStr">
        <is>
          <t>Other</t>
        </is>
      </c>
      <c r="D49" s="15" t="inlineStr">
        <is>
          <t>No</t>
        </is>
      </c>
      <c r="E49" s="6" t="n">
        <v>0</v>
      </c>
      <c r="F49" s="15" t="inlineStr">
        <is>
          <t>—</t>
        </is>
      </c>
      <c r="G49" s="6" t="n">
        <v>0</v>
      </c>
      <c r="H49" s="15" t="inlineStr">
        <is>
          <t>Not PMS — no NL2SQL impact</t>
        </is>
      </c>
    </row>
    <row r="50">
      <c r="A50" s="6" t="n">
        <v>49</v>
      </c>
      <c r="B50" s="15" t="inlineStr">
        <is>
          <t>tbl_privacy_settings</t>
        </is>
      </c>
      <c r="C50" s="15" t="inlineStr">
        <is>
          <t>Other</t>
        </is>
      </c>
      <c r="D50" s="15" t="inlineStr">
        <is>
          <t>No</t>
        </is>
      </c>
      <c r="E50" s="6" t="n">
        <v>0</v>
      </c>
      <c r="F50" s="15" t="inlineStr">
        <is>
          <t>—</t>
        </is>
      </c>
      <c r="G50" s="6" t="n">
        <v>0</v>
      </c>
      <c r="H50" s="15" t="inlineStr">
        <is>
          <t>Not PMS — no NL2SQL impact</t>
        </is>
      </c>
    </row>
    <row r="51">
      <c r="A51" s="6" t="n">
        <v>50</v>
      </c>
      <c r="B51" s="15" t="inlineStr">
        <is>
          <t>tbl_process_issue_analysis</t>
        </is>
      </c>
      <c r="C51" s="15" t="inlineStr">
        <is>
          <t>Issue Tracking</t>
        </is>
      </c>
      <c r="D51" s="15" t="inlineStr">
        <is>
          <t>Yes</t>
        </is>
      </c>
      <c r="E51" s="6" t="n">
        <v>0</v>
      </c>
      <c r="F51" s="15" t="inlineStr">
        <is>
          <t>—</t>
        </is>
      </c>
      <c r="G51" s="6" t="n">
        <v>0</v>
      </c>
      <c r="H51" s="15" t="inlineStr">
        <is>
          <t>PMS table — not referenced in questionnaire</t>
        </is>
      </c>
    </row>
    <row r="52">
      <c r="A52" s="24" t="n">
        <v>51</v>
      </c>
      <c r="B52" s="25" t="inlineStr">
        <is>
          <t>tbl_project_department</t>
        </is>
      </c>
      <c r="C52" s="25" t="inlineStr">
        <is>
          <t>Org Structure</t>
        </is>
      </c>
      <c r="D52" s="25" t="inlineStr">
        <is>
          <t>Yes</t>
        </is>
      </c>
      <c r="E52" s="24" t="n">
        <v>1</v>
      </c>
      <c r="F52" s="25" t="inlineStr">
        <is>
          <t>12</t>
        </is>
      </c>
      <c r="G52" s="24" t="n">
        <v>1</v>
      </c>
      <c r="H52" s="25" t="inlineStr">
        <is>
          <t>Blocks 1 mapped SQL queries (0 rows)</t>
        </is>
      </c>
    </row>
    <row r="53">
      <c r="A53" s="6" t="n">
        <v>52</v>
      </c>
      <c r="B53" s="15" t="inlineStr">
        <is>
          <t>tbl_project_documents</t>
        </is>
      </c>
      <c r="C53" s="15" t="inlineStr">
        <is>
          <t>Documents</t>
        </is>
      </c>
      <c r="D53" s="15" t="inlineStr">
        <is>
          <t>Yes</t>
        </is>
      </c>
      <c r="E53" s="6" t="n">
        <v>0</v>
      </c>
      <c r="F53" s="15" t="inlineStr">
        <is>
          <t>—</t>
        </is>
      </c>
      <c r="G53" s="6" t="n">
        <v>0</v>
      </c>
      <c r="H53" s="15" t="inlineStr">
        <is>
          <t>PMS table — not referenced in questionnaire</t>
        </is>
      </c>
    </row>
    <row r="54">
      <c r="A54" s="24" t="n">
        <v>53</v>
      </c>
      <c r="B54" s="25" t="inlineStr">
        <is>
          <t>tbl_project_estimation</t>
        </is>
      </c>
      <c r="C54" s="25" t="inlineStr">
        <is>
          <t>Estimation</t>
        </is>
      </c>
      <c r="D54" s="25" t="inlineStr">
        <is>
          <t>Yes</t>
        </is>
      </c>
      <c r="E54" s="24" t="n">
        <v>5</v>
      </c>
      <c r="F54" s="25" t="inlineStr">
        <is>
          <t>93, 94, 95, 96, 97</t>
        </is>
      </c>
      <c r="G54" s="24" t="n">
        <v>5</v>
      </c>
      <c r="H54" s="25" t="inlineStr">
        <is>
          <t>Blocks 5 mapped SQL queries (0 rows)</t>
        </is>
      </c>
    </row>
    <row r="55">
      <c r="A55" s="6" t="n">
        <v>54</v>
      </c>
      <c r="B55" s="15" t="inlineStr">
        <is>
          <t>tbl_project_estimation_audit_trails</t>
        </is>
      </c>
      <c r="C55" s="15" t="inlineStr">
        <is>
          <t>Estimation</t>
        </is>
      </c>
      <c r="D55" s="15" t="inlineStr">
        <is>
          <t>Yes</t>
        </is>
      </c>
      <c r="E55" s="6" t="n">
        <v>0</v>
      </c>
      <c r="F55" s="15" t="inlineStr">
        <is>
          <t>—</t>
        </is>
      </c>
      <c r="G55" s="6" t="n">
        <v>0</v>
      </c>
      <c r="H55" s="15" t="inlineStr">
        <is>
          <t>PMS table — not referenced in questionnaire</t>
        </is>
      </c>
    </row>
    <row r="56">
      <c r="A56" s="6" t="n">
        <v>55</v>
      </c>
      <c r="B56" s="15" t="inlineStr">
        <is>
          <t>tbl_project_estimation_lineitem_map</t>
        </is>
      </c>
      <c r="C56" s="15" t="inlineStr">
        <is>
          <t>Estimation</t>
        </is>
      </c>
      <c r="D56" s="15" t="inlineStr">
        <is>
          <t>Yes</t>
        </is>
      </c>
      <c r="E56" s="6" t="n">
        <v>0</v>
      </c>
      <c r="F56" s="15" t="inlineStr">
        <is>
          <t>—</t>
        </is>
      </c>
      <c r="G56" s="6" t="n">
        <v>0</v>
      </c>
      <c r="H56" s="15" t="inlineStr">
        <is>
          <t>PMS table — not referenced in questionnaire</t>
        </is>
      </c>
    </row>
    <row r="57">
      <c r="A57" s="6" t="n">
        <v>56</v>
      </c>
      <c r="B57" s="15" t="inlineStr">
        <is>
          <t>tbl_project_initiation_records</t>
        </is>
      </c>
      <c r="C57" s="15" t="inlineStr">
        <is>
          <t>Project Setup</t>
        </is>
      </c>
      <c r="D57" s="15" t="inlineStr">
        <is>
          <t>Yes</t>
        </is>
      </c>
      <c r="E57" s="6" t="n">
        <v>0</v>
      </c>
      <c r="F57" s="15" t="inlineStr">
        <is>
          <t>—</t>
        </is>
      </c>
      <c r="G57" s="6" t="n">
        <v>0</v>
      </c>
      <c r="H57" s="15" t="inlineStr">
        <is>
          <t>PMS table — not referenced in questionnaire</t>
        </is>
      </c>
    </row>
    <row r="58">
      <c r="A58" s="6" t="n">
        <v>57</v>
      </c>
      <c r="B58" s="15" t="inlineStr">
        <is>
          <t>tbl_project_issue_move_history</t>
        </is>
      </c>
      <c r="C58" s="15" t="inlineStr">
        <is>
          <t>Issue Tracking</t>
        </is>
      </c>
      <c r="D58" s="15" t="inlineStr">
        <is>
          <t>Yes</t>
        </is>
      </c>
      <c r="E58" s="6" t="n">
        <v>0</v>
      </c>
      <c r="F58" s="15" t="inlineStr">
        <is>
          <t>—</t>
        </is>
      </c>
      <c r="G58" s="6" t="n">
        <v>0</v>
      </c>
      <c r="H58" s="15" t="inlineStr">
        <is>
          <t>PMS table — not referenced in questionnaire</t>
        </is>
      </c>
    </row>
    <row r="59">
      <c r="A59" s="6" t="n">
        <v>58</v>
      </c>
      <c r="B59" s="15" t="inlineStr">
        <is>
          <t>tbl_project_issue_views</t>
        </is>
      </c>
      <c r="C59" s="15" t="inlineStr">
        <is>
          <t>Issue Tracking</t>
        </is>
      </c>
      <c r="D59" s="15" t="inlineStr">
        <is>
          <t>Yes</t>
        </is>
      </c>
      <c r="E59" s="6" t="n">
        <v>0</v>
      </c>
      <c r="F59" s="15" t="inlineStr">
        <is>
          <t>—</t>
        </is>
      </c>
      <c r="G59" s="6" t="n">
        <v>0</v>
      </c>
      <c r="H59" s="15" t="inlineStr">
        <is>
          <t>PMS table — not referenced in questionnaire</t>
        </is>
      </c>
    </row>
    <row r="60">
      <c r="A60" s="24" t="n">
        <v>59</v>
      </c>
      <c r="B60" s="25" t="inlineStr">
        <is>
          <t>tbl_project_priority</t>
        </is>
      </c>
      <c r="C60" s="25" t="inlineStr">
        <is>
          <t>Lookups</t>
        </is>
      </c>
      <c r="D60" s="25" t="inlineStr">
        <is>
          <t>Yes</t>
        </is>
      </c>
      <c r="E60" s="24" t="n">
        <v>1</v>
      </c>
      <c r="F60" s="25" t="inlineStr">
        <is>
          <t>8</t>
        </is>
      </c>
      <c r="G60" s="24" t="n">
        <v>1</v>
      </c>
      <c r="H60" s="25" t="inlineStr">
        <is>
          <t>Blocks 1 mapped SQL queries (0 rows)</t>
        </is>
      </c>
    </row>
    <row r="61">
      <c r="A61" s="6" t="n">
        <v>60</v>
      </c>
      <c r="B61" s="15" t="inlineStr">
        <is>
          <t>tbl_project_process_issue</t>
        </is>
      </c>
      <c r="C61" s="15" t="inlineStr">
        <is>
          <t>Issue Tracking</t>
        </is>
      </c>
      <c r="D61" s="15" t="inlineStr">
        <is>
          <t>Yes</t>
        </is>
      </c>
      <c r="E61" s="6" t="n">
        <v>0</v>
      </c>
      <c r="F61" s="15" t="inlineStr">
        <is>
          <t>—</t>
        </is>
      </c>
      <c r="G61" s="6" t="n">
        <v>0</v>
      </c>
      <c r="H61" s="15" t="inlineStr">
        <is>
          <t>PMS table — not referenced in questionnaire</t>
        </is>
      </c>
    </row>
    <row r="62">
      <c r="A62" s="6" t="n">
        <v>61</v>
      </c>
      <c r="B62" s="15" t="inlineStr">
        <is>
          <t>tbl_project_rca_users</t>
        </is>
      </c>
      <c r="C62" s="15" t="inlineStr">
        <is>
          <t>Projects</t>
        </is>
      </c>
      <c r="D62" s="15" t="inlineStr">
        <is>
          <t>Yes</t>
        </is>
      </c>
      <c r="E62" s="6" t="n">
        <v>0</v>
      </c>
      <c r="F62" s="15" t="inlineStr">
        <is>
          <t>—</t>
        </is>
      </c>
      <c r="G62" s="6" t="n">
        <v>0</v>
      </c>
      <c r="H62" s="15" t="inlineStr">
        <is>
          <t>PMS table — not referenced in questionnaire</t>
        </is>
      </c>
    </row>
    <row r="63">
      <c r="A63" s="6" t="n">
        <v>62</v>
      </c>
      <c r="B63" s="15" t="inlineStr">
        <is>
          <t>tbl_project_risk</t>
        </is>
      </c>
      <c r="C63" s="15" t="inlineStr">
        <is>
          <t>Risk Management</t>
        </is>
      </c>
      <c r="D63" s="15" t="inlineStr">
        <is>
          <t>Yes</t>
        </is>
      </c>
      <c r="E63" s="6" t="n">
        <v>0</v>
      </c>
      <c r="F63" s="15" t="inlineStr">
        <is>
          <t>—</t>
        </is>
      </c>
      <c r="G63" s="6" t="n">
        <v>0</v>
      </c>
      <c r="H63" s="15" t="inlineStr">
        <is>
          <t>PMS table — not referenced in questionnaire</t>
        </is>
      </c>
    </row>
    <row r="64">
      <c r="A64" s="6" t="n">
        <v>63</v>
      </c>
      <c r="B64" s="15" t="inlineStr">
        <is>
          <t>tbl_project_risk_status</t>
        </is>
      </c>
      <c r="C64" s="15" t="inlineStr">
        <is>
          <t>Risk Management</t>
        </is>
      </c>
      <c r="D64" s="15" t="inlineStr">
        <is>
          <t>Yes</t>
        </is>
      </c>
      <c r="E64" s="6" t="n">
        <v>0</v>
      </c>
      <c r="F64" s="15" t="inlineStr">
        <is>
          <t>—</t>
        </is>
      </c>
      <c r="G64" s="6" t="n">
        <v>0</v>
      </c>
      <c r="H64" s="15" t="inlineStr">
        <is>
          <t>PMS table — not referenced in questionnaire</t>
        </is>
      </c>
    </row>
    <row r="65">
      <c r="A65" s="6" t="n">
        <v>64</v>
      </c>
      <c r="B65" s="15" t="inlineStr">
        <is>
          <t>tbl_project_sponsors</t>
        </is>
      </c>
      <c r="C65" s="15" t="inlineStr">
        <is>
          <t>Project Governance</t>
        </is>
      </c>
      <c r="D65" s="15" t="inlineStr">
        <is>
          <t>Yes</t>
        </is>
      </c>
      <c r="E65" s="6" t="n">
        <v>0</v>
      </c>
      <c r="F65" s="15" t="inlineStr">
        <is>
          <t>—</t>
        </is>
      </c>
      <c r="G65" s="6" t="n">
        <v>0</v>
      </c>
      <c r="H65" s="15" t="inlineStr">
        <is>
          <t>PMS table — not referenced in questionnaire</t>
        </is>
      </c>
    </row>
    <row r="66">
      <c r="A66" s="27" t="n">
        <v>65</v>
      </c>
      <c r="B66" s="23" t="inlineStr">
        <is>
          <t>tbl_project_status_history</t>
        </is>
      </c>
      <c r="C66" s="23" t="inlineStr">
        <is>
          <t>Audit / History</t>
        </is>
      </c>
      <c r="D66" s="23" t="inlineStr">
        <is>
          <t>Yes</t>
        </is>
      </c>
      <c r="E66" s="27" t="n">
        <v>1</v>
      </c>
      <c r="F66" s="23" t="inlineStr">
        <is>
          <t>19</t>
        </is>
      </c>
      <c r="G66" s="27" t="n">
        <v>0</v>
      </c>
      <c r="H66" s="23" t="inlineStr">
        <is>
          <t>Referenced by 1 unmapped questions</t>
        </is>
      </c>
    </row>
    <row r="67">
      <c r="A67" s="24" t="n">
        <v>66</v>
      </c>
      <c r="B67" s="25" t="inlineStr">
        <is>
          <t>tbl_project_task_milestone</t>
        </is>
      </c>
      <c r="C67" s="25" t="inlineStr">
        <is>
          <t>Milestones</t>
        </is>
      </c>
      <c r="D67" s="25" t="inlineStr">
        <is>
          <t>Yes</t>
        </is>
      </c>
      <c r="E67" s="24" t="n">
        <v>7</v>
      </c>
      <c r="F67" s="25" t="inlineStr">
        <is>
          <t>21, 22, 23, 24, 25, 27, 29</t>
        </is>
      </c>
      <c r="G67" s="24" t="n">
        <v>6</v>
      </c>
      <c r="H67" s="25" t="inlineStr">
        <is>
          <t>Blocks 6 mapped SQL queries (0 rows)</t>
        </is>
      </c>
    </row>
    <row r="68">
      <c r="A68" s="24" t="n">
        <v>67</v>
      </c>
      <c r="B68" s="25" t="inlineStr">
        <is>
          <t>tbl_project_task_milestone_mapping</t>
        </is>
      </c>
      <c r="C68" s="25" t="inlineStr">
        <is>
          <t>Milestones</t>
        </is>
      </c>
      <c r="D68" s="25" t="inlineStr">
        <is>
          <t>Yes</t>
        </is>
      </c>
      <c r="E68" s="24" t="n">
        <v>6</v>
      </c>
      <c r="F68" s="25" t="inlineStr">
        <is>
          <t>21, 22, 24, 25, 27, 29</t>
        </is>
      </c>
      <c r="G68" s="24" t="n">
        <v>6</v>
      </c>
      <c r="H68" s="25" t="inlineStr">
        <is>
          <t>Blocks 6 mapped SQL queries (0 rows)</t>
        </is>
      </c>
    </row>
    <row r="69">
      <c r="A69" s="6" t="n">
        <v>68</v>
      </c>
      <c r="B69" s="15" t="inlineStr">
        <is>
          <t>tbl_project_task_views</t>
        </is>
      </c>
      <c r="C69" s="15" t="inlineStr">
        <is>
          <t>Tasks</t>
        </is>
      </c>
      <c r="D69" s="15" t="inlineStr">
        <is>
          <t>Yes</t>
        </is>
      </c>
      <c r="E69" s="6" t="n">
        <v>0</v>
      </c>
      <c r="F69" s="15" t="inlineStr">
        <is>
          <t>—</t>
        </is>
      </c>
      <c r="G69" s="6" t="n">
        <v>0</v>
      </c>
      <c r="H69" s="15" t="inlineStr">
        <is>
          <t>PMS table — not referenced in questionnaire</t>
        </is>
      </c>
    </row>
    <row r="70">
      <c r="A70" s="24" t="n">
        <v>69</v>
      </c>
      <c r="B70" s="25" t="inlineStr">
        <is>
          <t>tbl_project_team</t>
        </is>
      </c>
      <c r="C70" s="25" t="inlineStr">
        <is>
          <t>Org Structure</t>
        </is>
      </c>
      <c r="D70" s="25" t="inlineStr">
        <is>
          <t>Yes</t>
        </is>
      </c>
      <c r="E70" s="24" t="n">
        <v>2</v>
      </c>
      <c r="F70" s="25" t="inlineStr">
        <is>
          <t>13, 72</t>
        </is>
      </c>
      <c r="G70" s="24" t="n">
        <v>1</v>
      </c>
      <c r="H70" s="25" t="inlineStr">
        <is>
          <t>Blocks 1 mapped SQL queries (0 rows)</t>
        </is>
      </c>
    </row>
    <row r="71">
      <c r="A71" s="6" t="n">
        <v>70</v>
      </c>
      <c r="B71" s="15" t="inlineStr">
        <is>
          <t>tbl_promotion</t>
        </is>
      </c>
      <c r="C71" s="15" t="inlineStr">
        <is>
          <t>Marketing</t>
        </is>
      </c>
      <c r="D71" s="15" t="inlineStr">
        <is>
          <t>No</t>
        </is>
      </c>
      <c r="E71" s="6" t="n">
        <v>0</v>
      </c>
      <c r="F71" s="15" t="inlineStr">
        <is>
          <t>—</t>
        </is>
      </c>
      <c r="G71" s="6" t="n">
        <v>0</v>
      </c>
      <c r="H71" s="15" t="inlineStr">
        <is>
          <t>Not PMS — no NL2SQL impact</t>
        </is>
      </c>
    </row>
    <row r="72">
      <c r="A72" s="6" t="n">
        <v>71</v>
      </c>
      <c r="B72" s="15" t="inlineStr">
        <is>
          <t>tbl_promotion_desc</t>
        </is>
      </c>
      <c r="C72" s="15" t="inlineStr">
        <is>
          <t>Marketing</t>
        </is>
      </c>
      <c r="D72" s="15" t="inlineStr">
        <is>
          <t>No</t>
        </is>
      </c>
      <c r="E72" s="6" t="n">
        <v>0</v>
      </c>
      <c r="F72" s="15" t="inlineStr">
        <is>
          <t>—</t>
        </is>
      </c>
      <c r="G72" s="6" t="n">
        <v>0</v>
      </c>
      <c r="H72" s="15" t="inlineStr">
        <is>
          <t>Not PMS — no NL2SQL impact</t>
        </is>
      </c>
    </row>
    <row r="73">
      <c r="A73" s="6" t="n">
        <v>72</v>
      </c>
      <c r="B73" s="15" t="inlineStr">
        <is>
          <t>tbl_promotion_ignore_user</t>
        </is>
      </c>
      <c r="C73" s="15" t="inlineStr">
        <is>
          <t>Users</t>
        </is>
      </c>
      <c r="D73" s="15" t="inlineStr">
        <is>
          <t>No</t>
        </is>
      </c>
      <c r="E73" s="6" t="n">
        <v>0</v>
      </c>
      <c r="F73" s="15" t="inlineStr">
        <is>
          <t>—</t>
        </is>
      </c>
      <c r="G73" s="6" t="n">
        <v>0</v>
      </c>
      <c r="H73" s="15" t="inlineStr">
        <is>
          <t>Not PMS — no NL2SQL impact</t>
        </is>
      </c>
    </row>
    <row r="74">
      <c r="A74" s="6" t="n">
        <v>73</v>
      </c>
      <c r="B74" s="15" t="inlineStr">
        <is>
          <t>tbl_qa_attachment</t>
        </is>
      </c>
      <c r="C74" s="15" t="inlineStr">
        <is>
          <t>Other</t>
        </is>
      </c>
      <c r="D74" s="15" t="inlineStr">
        <is>
          <t>No</t>
        </is>
      </c>
      <c r="E74" s="6" t="n">
        <v>0</v>
      </c>
      <c r="F74" s="15" t="inlineStr">
        <is>
          <t>—</t>
        </is>
      </c>
      <c r="G74" s="6" t="n">
        <v>0</v>
      </c>
      <c r="H74" s="15" t="inlineStr">
        <is>
          <t>Not PMS — no NL2SQL impact</t>
        </is>
      </c>
    </row>
    <row r="75">
      <c r="A75" s="6" t="n">
        <v>74</v>
      </c>
      <c r="B75" s="15" t="inlineStr">
        <is>
          <t>tbl_qa_category_group</t>
        </is>
      </c>
      <c r="C75" s="15" t="inlineStr">
        <is>
          <t>Other</t>
        </is>
      </c>
      <c r="D75" s="15" t="inlineStr">
        <is>
          <t>No</t>
        </is>
      </c>
      <c r="E75" s="6" t="n">
        <v>0</v>
      </c>
      <c r="F75" s="15" t="inlineStr">
        <is>
          <t>—</t>
        </is>
      </c>
      <c r="G75" s="6" t="n">
        <v>0</v>
      </c>
      <c r="H75" s="15" t="inlineStr">
        <is>
          <t>Not PMS — no NL2SQL impact</t>
        </is>
      </c>
    </row>
    <row r="76">
      <c r="A76" s="6" t="n">
        <v>75</v>
      </c>
      <c r="B76" s="15" t="inlineStr">
        <is>
          <t>tbl_qa_category_noty_users</t>
        </is>
      </c>
      <c r="C76" s="15" t="inlineStr">
        <is>
          <t>Users</t>
        </is>
      </c>
      <c r="D76" s="15" t="inlineStr">
        <is>
          <t>No</t>
        </is>
      </c>
      <c r="E76" s="6" t="n">
        <v>0</v>
      </c>
      <c r="F76" s="15" t="inlineStr">
        <is>
          <t>—</t>
        </is>
      </c>
      <c r="G76" s="6" t="n">
        <v>0</v>
      </c>
      <c r="H76" s="15" t="inlineStr">
        <is>
          <t>Not PMS — no NL2SQL impact</t>
        </is>
      </c>
    </row>
    <row r="77">
      <c r="A77" s="6" t="n">
        <v>76</v>
      </c>
      <c r="B77" s="15" t="inlineStr">
        <is>
          <t>tbl_qualifications</t>
        </is>
      </c>
      <c r="C77" s="15" t="inlineStr">
        <is>
          <t>Other</t>
        </is>
      </c>
      <c r="D77" s="15" t="inlineStr">
        <is>
          <t>No</t>
        </is>
      </c>
      <c r="E77" s="6" t="n">
        <v>0</v>
      </c>
      <c r="F77" s="15" t="inlineStr">
        <is>
          <t>—</t>
        </is>
      </c>
      <c r="G77" s="6" t="n">
        <v>0</v>
      </c>
      <c r="H77" s="15" t="inlineStr">
        <is>
          <t>Not PMS — no NL2SQL impact</t>
        </is>
      </c>
    </row>
    <row r="78">
      <c r="A78" s="6" t="n">
        <v>77</v>
      </c>
      <c r="B78" s="15" t="inlineStr">
        <is>
          <t>tbl_qualifications_desc</t>
        </is>
      </c>
      <c r="C78" s="15" t="inlineStr">
        <is>
          <t>Other</t>
        </is>
      </c>
      <c r="D78" s="15" t="inlineStr">
        <is>
          <t>No</t>
        </is>
      </c>
      <c r="E78" s="6" t="n">
        <v>0</v>
      </c>
      <c r="F78" s="15" t="inlineStr">
        <is>
          <t>—</t>
        </is>
      </c>
      <c r="G78" s="6" t="n">
        <v>0</v>
      </c>
      <c r="H78" s="15" t="inlineStr">
        <is>
          <t>Not PMS — no NL2SQL impact</t>
        </is>
      </c>
    </row>
    <row r="79">
      <c r="A79" s="6" t="n">
        <v>78</v>
      </c>
      <c r="B79" s="15" t="inlineStr">
        <is>
          <t>tbl_read_histories</t>
        </is>
      </c>
      <c r="C79" s="15" t="inlineStr">
        <is>
          <t>Other</t>
        </is>
      </c>
      <c r="D79" s="15" t="inlineStr">
        <is>
          <t>No</t>
        </is>
      </c>
      <c r="E79" s="6" t="n">
        <v>0</v>
      </c>
      <c r="F79" s="15" t="inlineStr">
        <is>
          <t>—</t>
        </is>
      </c>
      <c r="G79" s="6" t="n">
        <v>0</v>
      </c>
      <c r="H79" s="15" t="inlineStr">
        <is>
          <t>Not PMS — no NL2SQL impact</t>
        </is>
      </c>
    </row>
    <row r="80">
      <c r="A80" s="6" t="n">
        <v>79</v>
      </c>
      <c r="B80" s="15" t="inlineStr">
        <is>
          <t>tbl_regions</t>
        </is>
      </c>
      <c r="C80" s="15" t="inlineStr">
        <is>
          <t>Other</t>
        </is>
      </c>
      <c r="D80" s="15" t="inlineStr">
        <is>
          <t>No</t>
        </is>
      </c>
      <c r="E80" s="6" t="n">
        <v>0</v>
      </c>
      <c r="F80" s="15" t="inlineStr">
        <is>
          <t>—</t>
        </is>
      </c>
      <c r="G80" s="6" t="n">
        <v>0</v>
      </c>
      <c r="H80" s="15" t="inlineStr">
        <is>
          <t>Not PMS — no NL2SQL impact</t>
        </is>
      </c>
    </row>
    <row r="81">
      <c r="A81" s="6" t="n">
        <v>80</v>
      </c>
      <c r="B81" s="15" t="inlineStr">
        <is>
          <t>tbl_reminder</t>
        </is>
      </c>
      <c r="C81" s="15" t="inlineStr">
        <is>
          <t>Other</t>
        </is>
      </c>
      <c r="D81" s="15" t="inlineStr">
        <is>
          <t>No</t>
        </is>
      </c>
      <c r="E81" s="6" t="n">
        <v>0</v>
      </c>
      <c r="F81" s="15" t="inlineStr">
        <is>
          <t>—</t>
        </is>
      </c>
      <c r="G81" s="6" t="n">
        <v>0</v>
      </c>
      <c r="H81" s="15" t="inlineStr">
        <is>
          <t>Not PMS — no NL2SQL impact</t>
        </is>
      </c>
    </row>
    <row r="82">
      <c r="A82" s="6" t="n">
        <v>81</v>
      </c>
      <c r="B82" s="15" t="inlineStr">
        <is>
          <t>tbl_review</t>
        </is>
      </c>
      <c r="C82" s="15" t="inlineStr">
        <is>
          <t>Other</t>
        </is>
      </c>
      <c r="D82" s="15" t="inlineStr">
        <is>
          <t>No</t>
        </is>
      </c>
      <c r="E82" s="6" t="n">
        <v>0</v>
      </c>
      <c r="F82" s="15" t="inlineStr">
        <is>
          <t>—</t>
        </is>
      </c>
      <c r="G82" s="6" t="n">
        <v>0</v>
      </c>
      <c r="H82" s="15" t="inlineStr">
        <is>
          <t>Not PMS — no NL2SQL impact</t>
        </is>
      </c>
    </row>
    <row r="83">
      <c r="A83" s="6" t="n">
        <v>82</v>
      </c>
      <c r="B83" s="15" t="inlineStr">
        <is>
          <t>tbl_risk_action</t>
        </is>
      </c>
      <c r="C83" s="15" t="inlineStr">
        <is>
          <t>Risk Management</t>
        </is>
      </c>
      <c r="D83" s="15" t="inlineStr">
        <is>
          <t>Yes</t>
        </is>
      </c>
      <c r="E83" s="6" t="n">
        <v>0</v>
      </c>
      <c r="F83" s="15" t="inlineStr">
        <is>
          <t>—</t>
        </is>
      </c>
      <c r="G83" s="6" t="n">
        <v>0</v>
      </c>
      <c r="H83" s="15" t="inlineStr">
        <is>
          <t>PMS table — not referenced in questionnaire</t>
        </is>
      </c>
    </row>
    <row r="84">
      <c r="A84" s="6" t="n">
        <v>83</v>
      </c>
      <c r="B84" s="15" t="inlineStr">
        <is>
          <t>tbl_risk_mitigation_actions</t>
        </is>
      </c>
      <c r="C84" s="15" t="inlineStr">
        <is>
          <t>Risk Management</t>
        </is>
      </c>
      <c r="D84" s="15" t="inlineStr">
        <is>
          <t>Yes</t>
        </is>
      </c>
      <c r="E84" s="6" t="n">
        <v>0</v>
      </c>
      <c r="F84" s="15" t="inlineStr">
        <is>
          <t>—</t>
        </is>
      </c>
      <c r="G84" s="6" t="n">
        <v>0</v>
      </c>
      <c r="H84" s="15" t="inlineStr">
        <is>
          <t>PMS table — not referenced in questionnaire</t>
        </is>
      </c>
    </row>
    <row r="85">
      <c r="A85" s="24" t="n">
        <v>84</v>
      </c>
      <c r="B85" s="25" t="inlineStr">
        <is>
          <t>tbl_risk_update</t>
        </is>
      </c>
      <c r="C85" s="25" t="inlineStr">
        <is>
          <t>Risk Management</t>
        </is>
      </c>
      <c r="D85" s="25" t="inlineStr">
        <is>
          <t>Yes</t>
        </is>
      </c>
      <c r="E85" s="24" t="n">
        <v>1</v>
      </c>
      <c r="F85" s="25" t="inlineStr">
        <is>
          <t>109</t>
        </is>
      </c>
      <c r="G85" s="24" t="n">
        <v>1</v>
      </c>
      <c r="H85" s="25" t="inlineStr">
        <is>
          <t>Blocks 1 mapped SQL queries (0 rows)</t>
        </is>
      </c>
    </row>
    <row r="86">
      <c r="A86" s="6" t="n">
        <v>85</v>
      </c>
      <c r="B86" s="15" t="inlineStr">
        <is>
          <t>tbl_rt_env_details</t>
        </is>
      </c>
      <c r="C86" s="15" t="inlineStr">
        <is>
          <t>Other</t>
        </is>
      </c>
      <c r="D86" s="15" t="inlineStr">
        <is>
          <t>No</t>
        </is>
      </c>
      <c r="E86" s="6" t="n">
        <v>0</v>
      </c>
      <c r="F86" s="15" t="inlineStr">
        <is>
          <t>—</t>
        </is>
      </c>
      <c r="G86" s="6" t="n">
        <v>0</v>
      </c>
      <c r="H86" s="15" t="inlineStr">
        <is>
          <t>Not PMS — no NL2SQL impact</t>
        </is>
      </c>
    </row>
    <row r="87">
      <c r="A87" s="6" t="n">
        <v>86</v>
      </c>
      <c r="B87" s="15" t="inlineStr">
        <is>
          <t>tbl_rt_file</t>
        </is>
      </c>
      <c r="C87" s="15" t="inlineStr">
        <is>
          <t>Other</t>
        </is>
      </c>
      <c r="D87" s="15" t="inlineStr">
        <is>
          <t>No</t>
        </is>
      </c>
      <c r="E87" s="6" t="n">
        <v>0</v>
      </c>
      <c r="F87" s="15" t="inlineStr">
        <is>
          <t>—</t>
        </is>
      </c>
      <c r="G87" s="6" t="n">
        <v>0</v>
      </c>
      <c r="H87" s="15" t="inlineStr">
        <is>
          <t>Not PMS — no NL2SQL impact</t>
        </is>
      </c>
    </row>
    <row r="88">
      <c r="A88" s="6" t="n">
        <v>87</v>
      </c>
      <c r="B88" s="15" t="inlineStr">
        <is>
          <t>tbl_settings</t>
        </is>
      </c>
      <c r="C88" s="15" t="inlineStr">
        <is>
          <t>Other</t>
        </is>
      </c>
      <c r="D88" s="15" t="inlineStr">
        <is>
          <t>No</t>
        </is>
      </c>
      <c r="E88" s="6" t="n">
        <v>0</v>
      </c>
      <c r="F88" s="15" t="inlineStr">
        <is>
          <t>—</t>
        </is>
      </c>
      <c r="G88" s="6" t="n">
        <v>0</v>
      </c>
      <c r="H88" s="15" t="inlineStr">
        <is>
          <t>Not PMS — no NL2SQL impact</t>
        </is>
      </c>
    </row>
    <row r="89">
      <c r="A89" s="6" t="n">
        <v>88</v>
      </c>
      <c r="B89" s="15" t="inlineStr">
        <is>
          <t>tbl_starred_files</t>
        </is>
      </c>
      <c r="C89" s="15" t="inlineStr">
        <is>
          <t>Other</t>
        </is>
      </c>
      <c r="D89" s="15" t="inlineStr">
        <is>
          <t>No</t>
        </is>
      </c>
      <c r="E89" s="6" t="n">
        <v>0</v>
      </c>
      <c r="F89" s="15" t="inlineStr">
        <is>
          <t>—</t>
        </is>
      </c>
      <c r="G89" s="6" t="n">
        <v>0</v>
      </c>
      <c r="H89" s="15" t="inlineStr">
        <is>
          <t>Not PMS — no NL2SQL impact</t>
        </is>
      </c>
    </row>
    <row r="90">
      <c r="A90" s="6" t="n">
        <v>89</v>
      </c>
      <c r="B90" s="15" t="inlineStr">
        <is>
          <t>tbl_sub_todo_list</t>
        </is>
      </c>
      <c r="C90" s="15" t="inlineStr">
        <is>
          <t>Other</t>
        </is>
      </c>
      <c r="D90" s="15" t="inlineStr">
        <is>
          <t>No</t>
        </is>
      </c>
      <c r="E90" s="6" t="n">
        <v>0</v>
      </c>
      <c r="F90" s="15" t="inlineStr">
        <is>
          <t>—</t>
        </is>
      </c>
      <c r="G90" s="6" t="n">
        <v>0</v>
      </c>
      <c r="H90" s="15" t="inlineStr">
        <is>
          <t>Not PMS — no NL2SQL impact</t>
        </is>
      </c>
    </row>
    <row r="91">
      <c r="A91" s="6" t="n">
        <v>90</v>
      </c>
      <c r="B91" s="15" t="inlineStr">
        <is>
          <t>tbl_support</t>
        </is>
      </c>
      <c r="C91" s="15" t="inlineStr">
        <is>
          <t>Support</t>
        </is>
      </c>
      <c r="D91" s="15" t="inlineStr">
        <is>
          <t>No</t>
        </is>
      </c>
      <c r="E91" s="6" t="n">
        <v>0</v>
      </c>
      <c r="F91" s="15" t="inlineStr">
        <is>
          <t>—</t>
        </is>
      </c>
      <c r="G91" s="6" t="n">
        <v>0</v>
      </c>
      <c r="H91" s="15" t="inlineStr">
        <is>
          <t>Not PMS — no NL2SQL impact</t>
        </is>
      </c>
    </row>
    <row r="92">
      <c r="A92" s="6" t="n">
        <v>91</v>
      </c>
      <c r="B92" s="15" t="inlineStr">
        <is>
          <t>tbl_support_category</t>
        </is>
      </c>
      <c r="C92" s="15" t="inlineStr">
        <is>
          <t>Support</t>
        </is>
      </c>
      <c r="D92" s="15" t="inlineStr">
        <is>
          <t>No</t>
        </is>
      </c>
      <c r="E92" s="6" t="n">
        <v>0</v>
      </c>
      <c r="F92" s="15" t="inlineStr">
        <is>
          <t>—</t>
        </is>
      </c>
      <c r="G92" s="6" t="n">
        <v>0</v>
      </c>
      <c r="H92" s="15" t="inlineStr">
        <is>
          <t>Not PMS — no NL2SQL impact</t>
        </is>
      </c>
    </row>
    <row r="93">
      <c r="A93" s="6" t="n">
        <v>92</v>
      </c>
      <c r="B93" s="15" t="inlineStr">
        <is>
          <t>tbl_support_details</t>
        </is>
      </c>
      <c r="C93" s="15" t="inlineStr">
        <is>
          <t>Support</t>
        </is>
      </c>
      <c r="D93" s="15" t="inlineStr">
        <is>
          <t>No</t>
        </is>
      </c>
      <c r="E93" s="6" t="n">
        <v>0</v>
      </c>
      <c r="F93" s="15" t="inlineStr">
        <is>
          <t>—</t>
        </is>
      </c>
      <c r="G93" s="6" t="n">
        <v>0</v>
      </c>
      <c r="H93" s="15" t="inlineStr">
        <is>
          <t>Not PMS — no NL2SQL impact</t>
        </is>
      </c>
    </row>
    <row r="94">
      <c r="A94" s="6" t="n">
        <v>93</v>
      </c>
      <c r="B94" s="15" t="inlineStr">
        <is>
          <t>tbl_support_reply</t>
        </is>
      </c>
      <c r="C94" s="15" t="inlineStr">
        <is>
          <t>Support</t>
        </is>
      </c>
      <c r="D94" s="15" t="inlineStr">
        <is>
          <t>No</t>
        </is>
      </c>
      <c r="E94" s="6" t="n">
        <v>0</v>
      </c>
      <c r="F94" s="15" t="inlineStr">
        <is>
          <t>—</t>
        </is>
      </c>
      <c r="G94" s="6" t="n">
        <v>0</v>
      </c>
      <c r="H94" s="15" t="inlineStr">
        <is>
          <t>Not PMS — no NL2SQL impact</t>
        </is>
      </c>
    </row>
    <row r="95">
      <c r="A95" s="6" t="n">
        <v>94</v>
      </c>
      <c r="B95" s="15" t="inlineStr">
        <is>
          <t>tbl_task_insights</t>
        </is>
      </c>
      <c r="C95" s="15" t="inlineStr">
        <is>
          <t>Tasks</t>
        </is>
      </c>
      <c r="D95" s="15" t="inlineStr">
        <is>
          <t>Yes</t>
        </is>
      </c>
      <c r="E95" s="6" t="n">
        <v>0</v>
      </c>
      <c r="F95" s="15" t="inlineStr">
        <is>
          <t>—</t>
        </is>
      </c>
      <c r="G95" s="6" t="n">
        <v>0</v>
      </c>
      <c r="H95" s="15" t="inlineStr">
        <is>
          <t>PMS table — not referenced in questionnaire</t>
        </is>
      </c>
    </row>
    <row r="96">
      <c r="A96" s="6" t="n">
        <v>95</v>
      </c>
      <c r="B96" s="15" t="inlineStr">
        <is>
          <t>tbl_user_account_history</t>
        </is>
      </c>
      <c r="C96" s="15" t="inlineStr">
        <is>
          <t>Users</t>
        </is>
      </c>
      <c r="D96" s="15" t="inlineStr">
        <is>
          <t>No</t>
        </is>
      </c>
      <c r="E96" s="6" t="n">
        <v>0</v>
      </c>
      <c r="F96" s="15" t="inlineStr">
        <is>
          <t>—</t>
        </is>
      </c>
      <c r="G96" s="6" t="n">
        <v>0</v>
      </c>
      <c r="H96" s="15" t="inlineStr">
        <is>
          <t>Not PMS — no NL2SQL impact</t>
        </is>
      </c>
    </row>
    <row r="97">
      <c r="A97" s="6" t="n">
        <v>96</v>
      </c>
      <c r="B97" s="15" t="inlineStr">
        <is>
          <t>tbl_user_journey</t>
        </is>
      </c>
      <c r="C97" s="15" t="inlineStr">
        <is>
          <t>Users</t>
        </is>
      </c>
      <c r="D97" s="15" t="inlineStr">
        <is>
          <t>No</t>
        </is>
      </c>
      <c r="E97" s="6" t="n">
        <v>0</v>
      </c>
      <c r="F97" s="15" t="inlineStr">
        <is>
          <t>—</t>
        </is>
      </c>
      <c r="G97" s="6" t="n">
        <v>0</v>
      </c>
      <c r="H97" s="15" t="inlineStr">
        <is>
          <t>Not PMS — no NL2SQL impact</t>
        </is>
      </c>
    </row>
    <row r="98">
      <c r="A98" s="6" t="n">
        <v>97</v>
      </c>
      <c r="B98" s="15" t="inlineStr">
        <is>
          <t>tbl_user_photos</t>
        </is>
      </c>
      <c r="C98" s="15" t="inlineStr">
        <is>
          <t>Users</t>
        </is>
      </c>
      <c r="D98" s="15" t="inlineStr">
        <is>
          <t>No</t>
        </is>
      </c>
      <c r="E98" s="6" t="n">
        <v>0</v>
      </c>
      <c r="F98" s="15" t="inlineStr">
        <is>
          <t>—</t>
        </is>
      </c>
      <c r="G98" s="6" t="n">
        <v>0</v>
      </c>
      <c r="H98" s="15" t="inlineStr">
        <is>
          <t>Not PMS — no NL2SQL impact</t>
        </is>
      </c>
    </row>
    <row r="99">
      <c r="A99" s="6" t="n">
        <v>98</v>
      </c>
      <c r="B99" s="15" t="inlineStr">
        <is>
          <t>tbl_user_subscriptions</t>
        </is>
      </c>
      <c r="C99" s="15" t="inlineStr">
        <is>
          <t>Users</t>
        </is>
      </c>
      <c r="D99" s="15" t="inlineStr">
        <is>
          <t>No</t>
        </is>
      </c>
      <c r="E99" s="6" t="n">
        <v>0</v>
      </c>
      <c r="F99" s="15" t="inlineStr">
        <is>
          <t>—</t>
        </is>
      </c>
      <c r="G99" s="6" t="n">
        <v>0</v>
      </c>
      <c r="H99" s="15" t="inlineStr">
        <is>
          <t>Not PMS — no NL2SQL impact</t>
        </is>
      </c>
    </row>
    <row r="100">
      <c r="A100" s="6" t="n">
        <v>99</v>
      </c>
      <c r="B100" s="15" t="inlineStr">
        <is>
          <t>tbl_venue</t>
        </is>
      </c>
      <c r="C100" s="15" t="inlineStr">
        <is>
          <t>Other</t>
        </is>
      </c>
      <c r="D100" s="15" t="inlineStr">
        <is>
          <t>No</t>
        </is>
      </c>
      <c r="E100" s="6" t="n">
        <v>0</v>
      </c>
      <c r="F100" s="15" t="inlineStr">
        <is>
          <t>—</t>
        </is>
      </c>
      <c r="G100" s="6" t="n">
        <v>0</v>
      </c>
      <c r="H100" s="15" t="inlineStr">
        <is>
          <t>Not PMS — no NL2SQL impact</t>
        </is>
      </c>
    </row>
    <row r="101">
      <c r="A101" s="6" t="n">
        <v>100</v>
      </c>
      <c r="B101" s="15" t="inlineStr">
        <is>
          <t>tbl_videos</t>
        </is>
      </c>
      <c r="C101" s="15" t="inlineStr">
        <is>
          <t>Other</t>
        </is>
      </c>
      <c r="D101" s="15" t="inlineStr">
        <is>
          <t>No</t>
        </is>
      </c>
      <c r="E101" s="6" t="n">
        <v>0</v>
      </c>
      <c r="F101" s="15" t="inlineStr">
        <is>
          <t>—</t>
        </is>
      </c>
      <c r="G101" s="6" t="n">
        <v>0</v>
      </c>
      <c r="H101" s="15" t="inlineStr">
        <is>
          <t>Not PMS — no NL2SQL impact</t>
        </is>
      </c>
    </row>
    <row r="102">
      <c r="A102" s="6" t="n">
        <v>101</v>
      </c>
      <c r="B102" s="15" t="inlineStr">
        <is>
          <t>tbl_visitors</t>
        </is>
      </c>
      <c r="C102" s="15" t="inlineStr">
        <is>
          <t>Other</t>
        </is>
      </c>
      <c r="D102" s="15" t="inlineStr">
        <is>
          <t>No</t>
        </is>
      </c>
      <c r="E102" s="6" t="n">
        <v>0</v>
      </c>
      <c r="F102" s="15" t="inlineStr">
        <is>
          <t>—</t>
        </is>
      </c>
      <c r="G102" s="6" t="n">
        <v>0</v>
      </c>
      <c r="H102" s="15" t="inlineStr">
        <is>
          <t>Not PMS — no NL2SQL impact</t>
        </is>
      </c>
    </row>
    <row r="103">
      <c r="A103" s="24" t="n">
        <v>102</v>
      </c>
      <c r="B103" s="25" t="inlineStr">
        <is>
          <t>tbl_weekly_issue_status</t>
        </is>
      </c>
      <c r="C103" s="25" t="inlineStr">
        <is>
          <t>Weekly Reporting</t>
        </is>
      </c>
      <c r="D103" s="25" t="inlineStr">
        <is>
          <t>Yes</t>
        </is>
      </c>
      <c r="E103" s="24" t="n">
        <v>1</v>
      </c>
      <c r="F103" s="25" t="inlineStr">
        <is>
          <t>118</t>
        </is>
      </c>
      <c r="G103" s="24" t="n">
        <v>1</v>
      </c>
      <c r="H103" s="25" t="inlineStr">
        <is>
          <t>Blocks 1 mapped SQL queries (0 rows)</t>
        </is>
      </c>
    </row>
    <row r="104">
      <c r="A104" s="24" t="n">
        <v>103</v>
      </c>
      <c r="B104" s="25" t="inlineStr">
        <is>
          <t>tbl_weekly_task_status</t>
        </is>
      </c>
      <c r="C104" s="25" t="inlineStr">
        <is>
          <t>Weekly Reporting</t>
        </is>
      </c>
      <c r="D104" s="25" t="inlineStr">
        <is>
          <t>Yes</t>
        </is>
      </c>
      <c r="E104" s="24" t="n">
        <v>1</v>
      </c>
      <c r="F104" s="25" t="inlineStr">
        <is>
          <t>117</t>
        </is>
      </c>
      <c r="G104" s="24" t="n">
        <v>1</v>
      </c>
      <c r="H104" s="25" t="inlineStr">
        <is>
          <t>Blocks 1 mapped SQL queries (0 rows)</t>
        </is>
      </c>
    </row>
    <row r="105">
      <c r="A105" s="6" t="n">
        <v>104</v>
      </c>
      <c r="B105" s="15" t="inlineStr">
        <is>
          <t>tbl_weekly_ticket_status</t>
        </is>
      </c>
      <c r="C105" s="15" t="inlineStr">
        <is>
          <t>Weekly Reporting</t>
        </is>
      </c>
      <c r="D105" s="15" t="inlineStr">
        <is>
          <t>Yes</t>
        </is>
      </c>
      <c r="E105" s="6" t="n">
        <v>0</v>
      </c>
      <c r="F105" s="15" t="inlineStr">
        <is>
          <t>—</t>
        </is>
      </c>
      <c r="G105" s="6" t="n">
        <v>0</v>
      </c>
      <c r="H105" s="15" t="inlineStr">
        <is>
          <t>PMS table — not referenced in questionnaire</t>
        </is>
      </c>
    </row>
    <row r="106">
      <c r="A106" s="6" t="n">
        <v>105</v>
      </c>
      <c r="B106" s="15" t="inlineStr">
        <is>
          <t>tbl_word_group</t>
        </is>
      </c>
      <c r="C106" s="15" t="inlineStr">
        <is>
          <t>Other</t>
        </is>
      </c>
      <c r="D106" s="15" t="inlineStr">
        <is>
          <t>No</t>
        </is>
      </c>
      <c r="E106" s="6" t="n">
        <v>0</v>
      </c>
      <c r="F106" s="15" t="inlineStr">
        <is>
          <t>—</t>
        </is>
      </c>
      <c r="G106" s="6" t="n">
        <v>0</v>
      </c>
      <c r="H106" s="15" t="inlineStr">
        <is>
          <t>Not PMS — no NL2SQL impact</t>
        </is>
      </c>
    </row>
    <row r="107">
      <c r="A107" s="6" t="n">
        <v>106</v>
      </c>
      <c r="B107" s="15" t="inlineStr">
        <is>
          <t>tbl_work_edu_mapping</t>
        </is>
      </c>
      <c r="C107" s="15" t="inlineStr">
        <is>
          <t>Other</t>
        </is>
      </c>
      <c r="D107" s="15" t="inlineStr">
        <is>
          <t>No</t>
        </is>
      </c>
      <c r="E107" s="6" t="n">
        <v>0</v>
      </c>
      <c r="F107" s="15" t="inlineStr">
        <is>
          <t>—</t>
        </is>
      </c>
      <c r="G107" s="6" t="n">
        <v>0</v>
      </c>
      <c r="H107" s="15" t="inlineStr">
        <is>
          <t>Not PMS — no NL2SQL impact</t>
        </is>
      </c>
    </row>
    <row r="108">
      <c r="A108" s="6" t="n">
        <v>107</v>
      </c>
      <c r="B108" s="15" t="inlineStr">
        <is>
          <t>tbl_work_education_types</t>
        </is>
      </c>
      <c r="C108" s="15" t="inlineStr">
        <is>
          <t>Other</t>
        </is>
      </c>
      <c r="D108" s="15" t="inlineStr">
        <is>
          <t>No</t>
        </is>
      </c>
      <c r="E108" s="6" t="n">
        <v>0</v>
      </c>
      <c r="F108" s="15" t="inlineStr">
        <is>
          <t>—</t>
        </is>
      </c>
      <c r="G108" s="6" t="n">
        <v>0</v>
      </c>
      <c r="H108" s="15" t="inlineStr">
        <is>
          <t>Not PMS — no NL2SQL impact</t>
        </is>
      </c>
    </row>
    <row r="109">
      <c r="A109" s="6" t="n">
        <v>108</v>
      </c>
      <c r="B109" s="15" t="inlineStr">
        <is>
          <t>tbl_work_education_types_desc</t>
        </is>
      </c>
      <c r="C109" s="15" t="inlineStr">
        <is>
          <t>Other</t>
        </is>
      </c>
      <c r="D109" s="15" t="inlineStr">
        <is>
          <t>No</t>
        </is>
      </c>
      <c r="E109" s="6" t="n">
        <v>0</v>
      </c>
      <c r="F109" s="15" t="inlineStr">
        <is>
          <t>—</t>
        </is>
      </c>
      <c r="G109" s="6" t="n">
        <v>0</v>
      </c>
      <c r="H109" s="15" t="inlineStr">
        <is>
          <t>Not PMS — no NL2SQL impact</t>
        </is>
      </c>
    </row>
    <row r="110">
      <c r="A110" s="6" t="n">
        <v>109</v>
      </c>
      <c r="B110" s="15" t="inlineStr">
        <is>
          <t>temp_all_task</t>
        </is>
      </c>
      <c r="C110" s="15" t="inlineStr">
        <is>
          <t>Tasks</t>
        </is>
      </c>
      <c r="D110" s="15" t="inlineStr">
        <is>
          <t>Yes</t>
        </is>
      </c>
      <c r="E110" s="6" t="n">
        <v>0</v>
      </c>
      <c r="F110" s="15" t="inlineStr">
        <is>
          <t>—</t>
        </is>
      </c>
      <c r="G110" s="6" t="n">
        <v>0</v>
      </c>
      <c r="H110" s="15" t="inlineStr">
        <is>
          <t>PMS table — not referenced in questionnaire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3.25" customWidth="1" style="38" min="1" max="1"/>
    <col width="28" customWidth="1" style="38" min="2" max="2"/>
    <col width="41.88" customWidth="1" style="38" min="3" max="3"/>
    <col width="42.5" customWidth="1" style="38" min="4" max="4"/>
    <col width="48.88" customWidth="1" style="38" min="5" max="5"/>
  </cols>
  <sheetData>
    <row r="1" ht="22.5" customHeight="1" s="38">
      <c r="A1" s="9" t="inlineStr">
        <is>
          <t>S. No.</t>
        </is>
      </c>
      <c r="B1" s="10" t="inlineStr">
        <is>
          <t>Agent Name</t>
        </is>
      </c>
      <c r="C1" s="11" t="inlineStr">
        <is>
          <t>Purpose</t>
        </is>
      </c>
      <c r="D1" s="10" t="inlineStr">
        <is>
          <t>Main Data Sources</t>
        </is>
      </c>
      <c r="E1" s="10" t="inlineStr">
        <is>
          <t>Example User Request</t>
        </is>
      </c>
    </row>
    <row r="2" ht="22.5" customHeight="1" s="38">
      <c r="A2" s="13" t="n">
        <v>1</v>
      </c>
      <c r="B2" s="13" t="inlineStr">
        <is>
          <t>Project Manager Agent</t>
        </is>
      </c>
      <c r="C2" s="14" t="inlineStr">
        <is>
          <t>Provides an overall view of project progress, tasks, milestones, risks, issues, and timesheets</t>
        </is>
      </c>
      <c r="D2" s="13" t="inlineStr">
        <is>
          <t>Bridge PMS tools, Prism project documents</t>
        </is>
      </c>
      <c r="E2" s="13" t="inlineStr">
        <is>
          <t>“Review Project Alpha and tell me why it is delayed.”</t>
        </is>
      </c>
    </row>
    <row r="3" ht="22.5" customHeight="1" s="38">
      <c r="A3" s="13" t="n">
        <v>2</v>
      </c>
      <c r="B3" s="13" t="inlineStr">
        <is>
          <t>Delivery Health Agent</t>
        </is>
      </c>
      <c r="C3" s="14" t="inlineStr">
        <is>
          <t>Evaluates project health based on schedule, workload, risks, issues, and delivery indicators</t>
        </is>
      </c>
      <c r="D3" s="13" t="inlineStr">
        <is>
          <t>Bridge PMS data, Prism governance policies</t>
        </is>
      </c>
      <c r="E3" s="13" t="inlineStr">
        <is>
          <t>“Which projects are likely to turn red this month?”</t>
        </is>
      </c>
    </row>
    <row r="4" ht="22.5" customHeight="1" s="38">
      <c r="A4" s="13" t="n">
        <v>3</v>
      </c>
      <c r="B4" s="13" t="inlineStr">
        <is>
          <t>Resource Planning Agent</t>
        </is>
      </c>
      <c r="C4" s="14" t="inlineStr">
        <is>
          <t>Analyses workload, assignments, allocation conflicts, and resource availability</t>
        </is>
      </c>
      <c r="D4" s="13" t="inlineStr">
        <is>
          <t>Bridge resource, task, and timesheet tools</t>
        </is>
      </c>
      <c r="E4" s="13" t="inlineStr">
        <is>
          <t>“Who is overloaded next week?”</t>
        </is>
      </c>
    </row>
    <row r="5" ht="22.5" customHeight="1" s="38">
      <c r="A5" s="13" t="n">
        <v>4</v>
      </c>
      <c r="B5" s="13" t="inlineStr">
        <is>
          <t>Timesheet Compliance Agent</t>
        </is>
      </c>
      <c r="C5" s="14" t="inlineStr">
        <is>
          <t>Identifies missing, incomplete, delayed, or unusual timesheet entries</t>
        </is>
      </c>
      <c r="D5" s="13" t="inlineStr">
        <is>
          <t>Bridge timesheet and employee tools</t>
        </is>
      </c>
      <c r="E5" s="13" t="inlineStr">
        <is>
          <t>“Who has not logged the required hours this week?”</t>
        </is>
      </c>
    </row>
    <row r="6" ht="22.5" customHeight="1" s="38">
      <c r="A6" s="13" t="n">
        <v>5</v>
      </c>
      <c r="B6" s="13" t="inlineStr">
        <is>
          <t>Risk and Issue Agent</t>
        </is>
      </c>
      <c r="C6" s="14" t="inlineStr">
        <is>
          <t>Reviews open risks and issues and recommends mitigation or escalation actions</t>
        </is>
      </c>
      <c r="D6" s="13" t="inlineStr">
        <is>
          <t>Bridge risk and issue tools, Prism risk policies</t>
        </is>
      </c>
      <c r="E6" s="13" t="inlineStr">
        <is>
          <t>“Summarise critical risks and suggest mitigation actions.”</t>
        </is>
      </c>
    </row>
    <row r="7" ht="22.5" customHeight="1" s="38">
      <c r="A7" s="13" t="n">
        <v>6</v>
      </c>
      <c r="B7" s="13" t="inlineStr">
        <is>
          <t>Project Reporting Agent</t>
        </is>
      </c>
      <c r="C7" s="14" t="inlineStr">
        <is>
          <t>Generates weekly reports, steering committee summaries, and client updates</t>
        </is>
      </c>
      <c r="D7" s="13" t="inlineStr">
        <is>
          <t>Bridge PMS data, Prism templates</t>
        </is>
      </c>
      <c r="E7" s="13" t="inlineStr">
        <is>
          <t>“Prepare the weekly status report for Project Alpha.”</t>
        </is>
      </c>
    </row>
    <row r="8" ht="22.5" customHeight="1" s="38">
      <c r="A8" s="13" t="n">
        <v>7</v>
      </c>
      <c r="B8" s="13" t="inlineStr">
        <is>
          <t>Milestone Tracking Agent</t>
        </is>
      </c>
      <c r="C8" s="14" t="inlineStr">
        <is>
          <t>Tracks milestone progress, dependencies, owners, and delivery impact</t>
        </is>
      </c>
      <c r="D8" s="13" t="inlineStr">
        <is>
          <t>Bridge milestone and task tools</t>
        </is>
      </c>
      <c r="E8" s="13" t="inlineStr">
        <is>
          <t>“Which milestones are at risk in the next 30 days?”</t>
        </is>
      </c>
    </row>
    <row r="9" ht="22.5" customHeight="1" s="38">
      <c r="A9" s="13" t="n">
        <v>8</v>
      </c>
      <c r="B9" s="13" t="inlineStr">
        <is>
          <t>Project Audit Agent</t>
        </is>
      </c>
      <c r="C9" s="14" t="inlineStr">
        <is>
          <t>Checks project records against internal delivery and governance requirements</t>
        </is>
      </c>
      <c r="D9" s="13" t="inlineStr">
        <is>
          <t>Bridge project data, Prism policies and checklists</t>
        </is>
      </c>
      <c r="E9" s="13" t="inlineStr">
        <is>
          <t>“Is Project Alpha following the project closure checklist?”</t>
        </is>
      </c>
    </row>
    <row r="10" ht="22.5" customHeight="1" s="38">
      <c r="A10" s="13" t="n">
        <v>9</v>
      </c>
      <c r="B10" s="13" t="inlineStr">
        <is>
          <t>Client Account Health Agent</t>
        </is>
      </c>
      <c r="C10" s="14" t="inlineStr">
        <is>
          <t>Analyses client status, projects, risks, communication, and commercial context</t>
        </is>
      </c>
      <c r="D10" s="13" t="inlineStr">
        <is>
          <t>Bridge CRM/PMS tools, Prism client documents</t>
        </is>
      </c>
      <c r="E10" s="13" t="inlineStr">
        <is>
          <t>“Give me the current health of the Acme account.”</t>
        </is>
      </c>
    </row>
    <row r="11" ht="22.5" customHeight="1" s="38">
      <c r="A11" s="13" t="n">
        <v>10</v>
      </c>
      <c r="B11" s="13" t="inlineStr">
        <is>
          <t>Executive Reporting Agent</t>
        </is>
      </c>
      <c r="C11" s="14" t="inlineStr">
        <is>
          <t>Produces consolidated summaries across projects, teams, or business units</t>
        </is>
      </c>
      <c r="D11" s="13" t="inlineStr">
        <is>
          <t>Multiple Bridge tools and Prism reports</t>
        </is>
      </c>
      <c r="E11" s="13" t="inlineStr">
        <is>
          <t>“Prepare a portfolio summary for senior management.”</t>
        </is>
      </c>
    </row>
    <row r="12">
      <c r="C12" s="21" t="n"/>
    </row>
    <row r="13">
      <c r="C13" s="21" t="n"/>
    </row>
    <row r="14">
      <c r="C14" s="21" t="n"/>
    </row>
    <row r="15">
      <c r="C15" s="21" t="n"/>
    </row>
    <row r="16">
      <c r="C16" s="21" t="n"/>
    </row>
    <row r="17">
      <c r="C17" s="21" t="n"/>
    </row>
    <row r="18">
      <c r="C18" s="21" t="n"/>
    </row>
    <row r="19">
      <c r="C19" s="21" t="n"/>
    </row>
    <row r="20">
      <c r="C20" s="21" t="n"/>
    </row>
    <row r="21">
      <c r="C21" s="21" t="n"/>
    </row>
    <row r="22">
      <c r="C22" s="21" t="n"/>
    </row>
    <row r="23">
      <c r="C23" s="21" t="n"/>
    </row>
    <row r="24">
      <c r="C24" s="21" t="n"/>
    </row>
    <row r="25">
      <c r="C25" s="21" t="n"/>
    </row>
    <row r="26">
      <c r="C26" s="21" t="n"/>
    </row>
    <row r="27">
      <c r="C27" s="21" t="n"/>
    </row>
    <row r="28">
      <c r="C28" s="21" t="n"/>
    </row>
    <row r="29">
      <c r="C29" s="21" t="n"/>
    </row>
    <row r="30">
      <c r="C30" s="21" t="n"/>
    </row>
    <row r="31">
      <c r="C31" s="21" t="n"/>
    </row>
    <row r="32">
      <c r="C32" s="21" t="n"/>
    </row>
    <row r="33">
      <c r="C33" s="21" t="n"/>
    </row>
    <row r="34">
      <c r="C34" s="21" t="n"/>
    </row>
    <row r="35">
      <c r="C35" s="21" t="n"/>
    </row>
    <row r="36">
      <c r="C36" s="21" t="n"/>
    </row>
    <row r="37">
      <c r="C37" s="21" t="n"/>
    </row>
    <row r="38">
      <c r="C38" s="21" t="n"/>
    </row>
    <row r="39">
      <c r="C39" s="21" t="n"/>
    </row>
    <row r="40">
      <c r="C40" s="21" t="n"/>
    </row>
    <row r="41">
      <c r="C41" s="21" t="n"/>
    </row>
    <row r="42">
      <c r="C42" s="21" t="n"/>
    </row>
    <row r="43">
      <c r="C43" s="21" t="n"/>
    </row>
    <row r="44">
      <c r="C44" s="21" t="n"/>
    </row>
    <row r="45">
      <c r="C45" s="21" t="n"/>
    </row>
    <row r="46">
      <c r="C46" s="21" t="n"/>
    </row>
    <row r="47">
      <c r="C47" s="21" t="n"/>
    </row>
    <row r="48">
      <c r="C48" s="21" t="n"/>
    </row>
    <row r="49">
      <c r="C49" s="21" t="n"/>
    </row>
    <row r="50">
      <c r="C50" s="21" t="n"/>
    </row>
    <row r="51">
      <c r="C51" s="21" t="n"/>
    </row>
    <row r="52">
      <c r="C52" s="21" t="n"/>
    </row>
    <row r="53">
      <c r="C53" s="21" t="n"/>
    </row>
    <row r="54">
      <c r="C54" s="21" t="n"/>
    </row>
    <row r="55">
      <c r="C55" s="21" t="n"/>
    </row>
    <row r="56">
      <c r="C56" s="21" t="n"/>
    </row>
    <row r="57">
      <c r="C57" s="21" t="n"/>
    </row>
    <row r="58">
      <c r="C58" s="21" t="n"/>
    </row>
    <row r="59">
      <c r="C59" s="21" t="n"/>
    </row>
    <row r="60">
      <c r="C60" s="21" t="n"/>
    </row>
    <row r="61">
      <c r="C61" s="21" t="n"/>
    </row>
    <row r="62">
      <c r="C62" s="21" t="n"/>
    </row>
    <row r="63">
      <c r="C63" s="21" t="n"/>
    </row>
    <row r="64">
      <c r="C64" s="21" t="n"/>
    </row>
    <row r="65">
      <c r="C65" s="21" t="n"/>
    </row>
    <row r="66">
      <c r="C66" s="21" t="n"/>
    </row>
    <row r="67">
      <c r="C67" s="21" t="n"/>
    </row>
    <row r="68">
      <c r="C68" s="21" t="n"/>
    </row>
    <row r="69">
      <c r="C69" s="21" t="n"/>
    </row>
    <row r="70">
      <c r="C70" s="21" t="n"/>
    </row>
    <row r="71">
      <c r="C71" s="21" t="n"/>
    </row>
    <row r="72">
      <c r="C72" s="21" t="n"/>
    </row>
    <row r="73">
      <c r="C73" s="21" t="n"/>
    </row>
    <row r="74">
      <c r="C74" s="21" t="n"/>
    </row>
    <row r="75">
      <c r="C75" s="21" t="n"/>
    </row>
    <row r="76">
      <c r="C76" s="21" t="n"/>
    </row>
    <row r="77">
      <c r="C77" s="21" t="n"/>
    </row>
    <row r="78">
      <c r="C78" s="21" t="n"/>
    </row>
    <row r="79">
      <c r="C79" s="21" t="n"/>
    </row>
    <row r="80">
      <c r="C80" s="21" t="n"/>
    </row>
    <row r="81">
      <c r="C81" s="21" t="n"/>
    </row>
    <row r="82">
      <c r="C82" s="21" t="n"/>
    </row>
    <row r="83">
      <c r="C83" s="21" t="n"/>
    </row>
    <row r="84">
      <c r="C84" s="21" t="n"/>
    </row>
    <row r="85">
      <c r="C85" s="21" t="n"/>
    </row>
    <row r="86">
      <c r="C86" s="21" t="n"/>
    </row>
    <row r="87">
      <c r="C87" s="21" t="n"/>
    </row>
    <row r="88">
      <c r="C88" s="21" t="n"/>
    </row>
    <row r="89">
      <c r="C89" s="21" t="n"/>
    </row>
    <row r="90">
      <c r="C90" s="21" t="n"/>
    </row>
    <row r="91">
      <c r="C91" s="21" t="n"/>
    </row>
    <row r="92">
      <c r="C92" s="21" t="n"/>
    </row>
    <row r="93">
      <c r="C93" s="21" t="n"/>
    </row>
    <row r="94">
      <c r="C94" s="21" t="n"/>
    </row>
    <row r="95">
      <c r="C95" s="21" t="n"/>
    </row>
    <row r="96">
      <c r="C96" s="21" t="n"/>
    </row>
    <row r="97">
      <c r="C97" s="21" t="n"/>
    </row>
    <row r="98">
      <c r="C98" s="21" t="n"/>
    </row>
    <row r="99">
      <c r="C99" s="21" t="n"/>
    </row>
    <row r="100">
      <c r="C100" s="21" t="n"/>
    </row>
    <row r="101">
      <c r="C101" s="21" t="n"/>
    </row>
    <row r="102">
      <c r="C102" s="21" t="n"/>
    </row>
    <row r="103">
      <c r="C103" s="21" t="n"/>
    </row>
    <row r="104">
      <c r="C104" s="21" t="n"/>
    </row>
    <row r="105">
      <c r="C105" s="21" t="n"/>
    </row>
    <row r="106">
      <c r="C106" s="21" t="n"/>
    </row>
    <row r="107">
      <c r="C107" s="21" t="n"/>
    </row>
    <row r="108">
      <c r="C108" s="21" t="n"/>
    </row>
    <row r="109">
      <c r="C109" s="21" t="n"/>
    </row>
    <row r="110">
      <c r="C110" s="21" t="n"/>
    </row>
    <row r="111">
      <c r="C111" s="21" t="n"/>
    </row>
    <row r="112">
      <c r="C112" s="21" t="n"/>
    </row>
    <row r="113">
      <c r="C113" s="21" t="n"/>
    </row>
    <row r="114">
      <c r="C114" s="21" t="n"/>
    </row>
    <row r="115">
      <c r="C115" s="21" t="n"/>
    </row>
    <row r="116">
      <c r="C116" s="21" t="n"/>
    </row>
    <row r="117">
      <c r="C117" s="21" t="n"/>
    </row>
    <row r="118">
      <c r="C118" s="21" t="n"/>
    </row>
    <row r="119">
      <c r="C119" s="21" t="n"/>
    </row>
    <row r="120">
      <c r="C120" s="21" t="n"/>
    </row>
    <row r="121">
      <c r="C121" s="21" t="n"/>
    </row>
    <row r="122">
      <c r="C122" s="21" t="n"/>
    </row>
    <row r="123">
      <c r="C123" s="21" t="n"/>
    </row>
    <row r="124">
      <c r="C124" s="21" t="n"/>
    </row>
    <row r="125">
      <c r="C125" s="21" t="n"/>
    </row>
    <row r="126">
      <c r="C126" s="21" t="n"/>
    </row>
    <row r="127">
      <c r="C127" s="21" t="n"/>
    </row>
    <row r="128">
      <c r="C128" s="21" t="n"/>
    </row>
    <row r="129">
      <c r="C129" s="21" t="n"/>
    </row>
    <row r="130">
      <c r="C130" s="21" t="n"/>
    </row>
    <row r="131">
      <c r="C131" s="21" t="n"/>
    </row>
    <row r="132">
      <c r="C132" s="21" t="n"/>
    </row>
    <row r="133">
      <c r="C133" s="21" t="n"/>
    </row>
    <row r="134">
      <c r="C134" s="21" t="n"/>
    </row>
    <row r="135">
      <c r="C135" s="21" t="n"/>
    </row>
    <row r="136">
      <c r="C136" s="21" t="n"/>
    </row>
    <row r="137">
      <c r="C137" s="21" t="n"/>
    </row>
    <row r="138">
      <c r="C138" s="21" t="n"/>
    </row>
    <row r="139">
      <c r="C139" s="21" t="n"/>
    </row>
    <row r="140">
      <c r="C140" s="21" t="n"/>
    </row>
    <row r="141">
      <c r="C141" s="21" t="n"/>
    </row>
    <row r="142">
      <c r="C142" s="21" t="n"/>
    </row>
    <row r="143">
      <c r="C143" s="21" t="n"/>
    </row>
    <row r="144">
      <c r="C144" s="21" t="n"/>
    </row>
    <row r="145">
      <c r="C145" s="21" t="n"/>
    </row>
    <row r="146">
      <c r="C146" s="21" t="n"/>
    </row>
    <row r="147">
      <c r="C147" s="21" t="n"/>
    </row>
    <row r="148">
      <c r="C148" s="21" t="n"/>
    </row>
    <row r="149">
      <c r="C149" s="21" t="n"/>
    </row>
    <row r="150">
      <c r="C150" s="21" t="n"/>
    </row>
    <row r="151">
      <c r="C151" s="21" t="n"/>
    </row>
    <row r="152">
      <c r="C152" s="21" t="n"/>
    </row>
    <row r="153">
      <c r="C153" s="21" t="n"/>
    </row>
    <row r="154">
      <c r="C154" s="21" t="n"/>
    </row>
    <row r="155">
      <c r="C155" s="21" t="n"/>
    </row>
    <row r="156">
      <c r="C156" s="21" t="n"/>
    </row>
    <row r="157">
      <c r="C157" s="21" t="n"/>
    </row>
    <row r="158">
      <c r="C158" s="21" t="n"/>
    </row>
    <row r="159">
      <c r="C159" s="21" t="n"/>
    </row>
    <row r="160">
      <c r="C160" s="21" t="n"/>
    </row>
    <row r="161">
      <c r="C161" s="21" t="n"/>
    </row>
    <row r="162">
      <c r="C162" s="21" t="n"/>
    </row>
    <row r="163">
      <c r="C163" s="21" t="n"/>
    </row>
    <row r="164">
      <c r="C164" s="21" t="n"/>
    </row>
    <row r="165">
      <c r="C165" s="21" t="n"/>
    </row>
    <row r="166">
      <c r="C166" s="21" t="n"/>
    </row>
    <row r="167">
      <c r="C167" s="21" t="n"/>
    </row>
    <row r="168">
      <c r="C168" s="21" t="n"/>
    </row>
    <row r="169">
      <c r="C169" s="21" t="n"/>
    </row>
    <row r="170">
      <c r="C170" s="21" t="n"/>
    </row>
    <row r="171">
      <c r="C171" s="21" t="n"/>
    </row>
    <row r="172">
      <c r="C172" s="21" t="n"/>
    </row>
    <row r="173">
      <c r="C173" s="21" t="n"/>
    </row>
    <row r="174">
      <c r="C174" s="21" t="n"/>
    </row>
    <row r="175">
      <c r="C175" s="21" t="n"/>
    </row>
    <row r="176">
      <c r="C176" s="21" t="n"/>
    </row>
    <row r="177">
      <c r="C177" s="21" t="n"/>
    </row>
    <row r="178">
      <c r="C178" s="21" t="n"/>
    </row>
    <row r="179">
      <c r="C179" s="21" t="n"/>
    </row>
    <row r="180">
      <c r="C180" s="21" t="n"/>
    </row>
    <row r="181">
      <c r="C181" s="21" t="n"/>
    </row>
    <row r="182">
      <c r="C182" s="21" t="n"/>
    </row>
    <row r="183">
      <c r="C183" s="21" t="n"/>
    </row>
    <row r="184">
      <c r="C184" s="21" t="n"/>
    </row>
    <row r="185">
      <c r="C185" s="21" t="n"/>
    </row>
    <row r="186">
      <c r="C186" s="21" t="n"/>
    </row>
    <row r="187">
      <c r="C187" s="21" t="n"/>
    </row>
    <row r="188">
      <c r="C188" s="21" t="n"/>
    </row>
    <row r="189">
      <c r="C189" s="21" t="n"/>
    </row>
    <row r="190">
      <c r="C190" s="21" t="n"/>
    </row>
    <row r="191">
      <c r="C191" s="21" t="n"/>
    </row>
    <row r="192">
      <c r="C192" s="21" t="n"/>
    </row>
    <row r="193">
      <c r="C193" s="21" t="n"/>
    </row>
    <row r="194">
      <c r="C194" s="21" t="n"/>
    </row>
    <row r="195">
      <c r="C195" s="21" t="n"/>
    </row>
    <row r="196">
      <c r="C196" s="21" t="n"/>
    </row>
    <row r="197">
      <c r="C197" s="21" t="n"/>
    </row>
    <row r="198">
      <c r="C198" s="21" t="n"/>
    </row>
    <row r="199">
      <c r="C199" s="21" t="n"/>
    </row>
    <row r="200">
      <c r="C200" s="21" t="n"/>
    </row>
    <row r="201">
      <c r="C201" s="21" t="n"/>
    </row>
    <row r="202">
      <c r="C202" s="21" t="n"/>
    </row>
    <row r="203">
      <c r="C203" s="21" t="n"/>
    </row>
    <row r="204">
      <c r="C204" s="21" t="n"/>
    </row>
    <row r="205">
      <c r="C205" s="21" t="n"/>
    </row>
    <row r="206">
      <c r="C206" s="21" t="n"/>
    </row>
    <row r="207">
      <c r="C207" s="21" t="n"/>
    </row>
    <row r="208">
      <c r="C208" s="21" t="n"/>
    </row>
    <row r="209">
      <c r="C209" s="21" t="n"/>
    </row>
    <row r="210">
      <c r="C210" s="21" t="n"/>
    </row>
    <row r="211">
      <c r="C211" s="21" t="n"/>
    </row>
    <row r="212">
      <c r="C212" s="21" t="n"/>
    </row>
    <row r="213">
      <c r="C213" s="21" t="n"/>
    </row>
    <row r="214">
      <c r="C214" s="21" t="n"/>
    </row>
    <row r="215">
      <c r="C215" s="21" t="n"/>
    </row>
    <row r="216">
      <c r="C216" s="21" t="n"/>
    </row>
    <row r="217">
      <c r="C217" s="21" t="n"/>
    </row>
    <row r="218">
      <c r="C218" s="21" t="n"/>
    </row>
    <row r="219">
      <c r="C219" s="21" t="n"/>
    </row>
    <row r="220">
      <c r="C220" s="21" t="n"/>
    </row>
    <row r="221">
      <c r="C221" s="21" t="n"/>
    </row>
    <row r="222">
      <c r="C222" s="21" t="n"/>
    </row>
    <row r="223">
      <c r="C223" s="21" t="n"/>
    </row>
    <row r="224">
      <c r="C224" s="21" t="n"/>
    </row>
    <row r="225">
      <c r="C225" s="21" t="n"/>
    </row>
    <row r="226">
      <c r="C226" s="21" t="n"/>
    </row>
    <row r="227">
      <c r="C227" s="21" t="n"/>
    </row>
    <row r="228">
      <c r="C228" s="21" t="n"/>
    </row>
    <row r="229">
      <c r="C229" s="21" t="n"/>
    </row>
    <row r="230">
      <c r="C230" s="21" t="n"/>
    </row>
    <row r="231">
      <c r="C231" s="21" t="n"/>
    </row>
    <row r="232">
      <c r="C232" s="21" t="n"/>
    </row>
    <row r="233">
      <c r="C233" s="21" t="n"/>
    </row>
    <row r="234">
      <c r="C234" s="21" t="n"/>
    </row>
    <row r="235">
      <c r="C235" s="21" t="n"/>
    </row>
    <row r="236">
      <c r="C236" s="21" t="n"/>
    </row>
    <row r="237">
      <c r="C237" s="21" t="n"/>
    </row>
    <row r="238">
      <c r="C238" s="21" t="n"/>
    </row>
    <row r="239">
      <c r="C239" s="21" t="n"/>
    </row>
    <row r="240">
      <c r="C240" s="21" t="n"/>
    </row>
    <row r="241">
      <c r="C241" s="21" t="n"/>
    </row>
    <row r="242">
      <c r="C242" s="21" t="n"/>
    </row>
    <row r="243">
      <c r="C243" s="21" t="n"/>
    </row>
    <row r="244">
      <c r="C244" s="21" t="n"/>
    </row>
    <row r="245">
      <c r="C245" s="21" t="n"/>
    </row>
    <row r="246">
      <c r="C246" s="21" t="n"/>
    </row>
    <row r="247">
      <c r="C247" s="21" t="n"/>
    </row>
    <row r="248">
      <c r="C248" s="21" t="n"/>
    </row>
    <row r="249">
      <c r="C249" s="21" t="n"/>
    </row>
    <row r="250">
      <c r="C250" s="21" t="n"/>
    </row>
    <row r="251">
      <c r="C251" s="21" t="n"/>
    </row>
    <row r="252">
      <c r="C252" s="21" t="n"/>
    </row>
    <row r="253">
      <c r="C253" s="21" t="n"/>
    </row>
    <row r="254">
      <c r="C254" s="21" t="n"/>
    </row>
    <row r="255">
      <c r="C255" s="21" t="n"/>
    </row>
    <row r="256">
      <c r="C256" s="21" t="n"/>
    </row>
    <row r="257">
      <c r="C257" s="21" t="n"/>
    </row>
    <row r="258">
      <c r="C258" s="21" t="n"/>
    </row>
    <row r="259">
      <c r="C259" s="21" t="n"/>
    </row>
    <row r="260">
      <c r="C260" s="21" t="n"/>
    </row>
    <row r="261">
      <c r="C261" s="21" t="n"/>
    </row>
    <row r="262">
      <c r="C262" s="21" t="n"/>
    </row>
    <row r="263">
      <c r="C263" s="21" t="n"/>
    </row>
    <row r="264">
      <c r="C264" s="21" t="n"/>
    </row>
    <row r="265">
      <c r="C265" s="21" t="n"/>
    </row>
    <row r="266">
      <c r="C266" s="21" t="n"/>
    </row>
    <row r="267">
      <c r="C267" s="21" t="n"/>
    </row>
    <row r="268">
      <c r="C268" s="21" t="n"/>
    </row>
    <row r="269">
      <c r="C269" s="21" t="n"/>
    </row>
    <row r="270">
      <c r="C270" s="21" t="n"/>
    </row>
    <row r="271">
      <c r="C271" s="21" t="n"/>
    </row>
    <row r="272">
      <c r="C272" s="21" t="n"/>
    </row>
    <row r="273">
      <c r="C273" s="21" t="n"/>
    </row>
    <row r="274">
      <c r="C274" s="21" t="n"/>
    </row>
    <row r="275">
      <c r="C275" s="21" t="n"/>
    </row>
    <row r="276">
      <c r="C276" s="21" t="n"/>
    </row>
    <row r="277">
      <c r="C277" s="21" t="n"/>
    </row>
    <row r="278">
      <c r="C278" s="21" t="n"/>
    </row>
    <row r="279">
      <c r="C279" s="21" t="n"/>
    </row>
    <row r="280">
      <c r="C280" s="21" t="n"/>
    </row>
    <row r="281">
      <c r="C281" s="21" t="n"/>
    </row>
    <row r="282">
      <c r="C282" s="21" t="n"/>
    </row>
    <row r="283">
      <c r="C283" s="21" t="n"/>
    </row>
    <row r="284">
      <c r="C284" s="21" t="n"/>
    </row>
    <row r="285">
      <c r="C285" s="21" t="n"/>
    </row>
    <row r="286">
      <c r="C286" s="21" t="n"/>
    </row>
    <row r="287">
      <c r="C287" s="21" t="n"/>
    </row>
    <row r="288">
      <c r="C288" s="21" t="n"/>
    </row>
    <row r="289">
      <c r="C289" s="21" t="n"/>
    </row>
    <row r="290">
      <c r="C290" s="21" t="n"/>
    </row>
    <row r="291">
      <c r="C291" s="21" t="n"/>
    </row>
    <row r="292">
      <c r="C292" s="21" t="n"/>
    </row>
    <row r="293">
      <c r="C293" s="21" t="n"/>
    </row>
    <row r="294">
      <c r="C294" s="21" t="n"/>
    </row>
    <row r="295">
      <c r="C295" s="21" t="n"/>
    </row>
    <row r="296">
      <c r="C296" s="21" t="n"/>
    </row>
    <row r="297">
      <c r="C297" s="21" t="n"/>
    </row>
    <row r="298">
      <c r="C298" s="21" t="n"/>
    </row>
    <row r="299">
      <c r="C299" s="21" t="n"/>
    </row>
    <row r="300">
      <c r="C300" s="21" t="n"/>
    </row>
    <row r="301">
      <c r="C301" s="21" t="n"/>
    </row>
    <row r="302">
      <c r="C302" s="21" t="n"/>
    </row>
    <row r="303">
      <c r="C303" s="21" t="n"/>
    </row>
    <row r="304">
      <c r="C304" s="21" t="n"/>
    </row>
    <row r="305">
      <c r="C305" s="21" t="n"/>
    </row>
    <row r="306">
      <c r="C306" s="21" t="n"/>
    </row>
    <row r="307">
      <c r="C307" s="21" t="n"/>
    </row>
    <row r="308">
      <c r="C308" s="21" t="n"/>
    </row>
    <row r="309">
      <c r="C309" s="21" t="n"/>
    </row>
    <row r="310">
      <c r="C310" s="21" t="n"/>
    </row>
    <row r="311">
      <c r="C311" s="21" t="n"/>
    </row>
    <row r="312">
      <c r="C312" s="21" t="n"/>
    </row>
    <row r="313">
      <c r="C313" s="21" t="n"/>
    </row>
    <row r="314">
      <c r="C314" s="21" t="n"/>
    </row>
    <row r="315">
      <c r="C315" s="21" t="n"/>
    </row>
    <row r="316">
      <c r="C316" s="21" t="n"/>
    </row>
    <row r="317">
      <c r="C317" s="21" t="n"/>
    </row>
    <row r="318">
      <c r="C318" s="21" t="n"/>
    </row>
    <row r="319">
      <c r="C319" s="21" t="n"/>
    </row>
    <row r="320">
      <c r="C320" s="21" t="n"/>
    </row>
    <row r="321">
      <c r="C321" s="21" t="n"/>
    </row>
    <row r="322">
      <c r="C322" s="21" t="n"/>
    </row>
    <row r="323">
      <c r="C323" s="21" t="n"/>
    </row>
    <row r="324">
      <c r="C324" s="21" t="n"/>
    </row>
    <row r="325">
      <c r="C325" s="21" t="n"/>
    </row>
    <row r="326">
      <c r="C326" s="21" t="n"/>
    </row>
    <row r="327">
      <c r="C327" s="21" t="n"/>
    </row>
    <row r="328">
      <c r="C328" s="21" t="n"/>
    </row>
    <row r="329">
      <c r="C329" s="21" t="n"/>
    </row>
    <row r="330">
      <c r="C330" s="21" t="n"/>
    </row>
    <row r="331">
      <c r="C331" s="21" t="n"/>
    </row>
    <row r="332">
      <c r="C332" s="21" t="n"/>
    </row>
    <row r="333">
      <c r="C333" s="21" t="n"/>
    </row>
    <row r="334">
      <c r="C334" s="21" t="n"/>
    </row>
    <row r="335">
      <c r="C335" s="21" t="n"/>
    </row>
    <row r="336">
      <c r="C336" s="21" t="n"/>
    </row>
    <row r="337">
      <c r="C337" s="21" t="n"/>
    </row>
    <row r="338">
      <c r="C338" s="21" t="n"/>
    </row>
    <row r="339">
      <c r="C339" s="21" t="n"/>
    </row>
    <row r="340">
      <c r="C340" s="21" t="n"/>
    </row>
    <row r="341">
      <c r="C341" s="21" t="n"/>
    </row>
    <row r="342">
      <c r="C342" s="21" t="n"/>
    </row>
    <row r="343">
      <c r="C343" s="21" t="n"/>
    </row>
    <row r="344">
      <c r="C344" s="21" t="n"/>
    </row>
    <row r="345">
      <c r="C345" s="21" t="n"/>
    </row>
    <row r="346">
      <c r="C346" s="21" t="n"/>
    </row>
    <row r="347">
      <c r="C347" s="21" t="n"/>
    </row>
    <row r="348">
      <c r="C348" s="21" t="n"/>
    </row>
    <row r="349">
      <c r="C349" s="21" t="n"/>
    </row>
    <row r="350">
      <c r="C350" s="21" t="n"/>
    </row>
    <row r="351">
      <c r="C351" s="21" t="n"/>
    </row>
    <row r="352">
      <c r="C352" s="21" t="n"/>
    </row>
    <row r="353">
      <c r="C353" s="21" t="n"/>
    </row>
    <row r="354">
      <c r="C354" s="21" t="n"/>
    </row>
    <row r="355">
      <c r="C355" s="21" t="n"/>
    </row>
    <row r="356">
      <c r="C356" s="21" t="n"/>
    </row>
    <row r="357">
      <c r="C357" s="21" t="n"/>
    </row>
    <row r="358">
      <c r="C358" s="21" t="n"/>
    </row>
    <row r="359">
      <c r="C359" s="21" t="n"/>
    </row>
    <row r="360">
      <c r="C360" s="21" t="n"/>
    </row>
    <row r="361">
      <c r="C361" s="21" t="n"/>
    </row>
    <row r="362">
      <c r="C362" s="21" t="n"/>
    </row>
    <row r="363">
      <c r="C363" s="21" t="n"/>
    </row>
    <row r="364">
      <c r="C364" s="21" t="n"/>
    </row>
    <row r="365">
      <c r="C365" s="21" t="n"/>
    </row>
    <row r="366">
      <c r="C366" s="21" t="n"/>
    </row>
    <row r="367">
      <c r="C367" s="21" t="n"/>
    </row>
    <row r="368">
      <c r="C368" s="21" t="n"/>
    </row>
    <row r="369">
      <c r="C369" s="21" t="n"/>
    </row>
    <row r="370">
      <c r="C370" s="21" t="n"/>
    </row>
    <row r="371">
      <c r="C371" s="21" t="n"/>
    </row>
    <row r="372">
      <c r="C372" s="21" t="n"/>
    </row>
    <row r="373">
      <c r="C373" s="21" t="n"/>
    </row>
    <row r="374">
      <c r="C374" s="21" t="n"/>
    </row>
    <row r="375">
      <c r="C375" s="21" t="n"/>
    </row>
    <row r="376">
      <c r="C376" s="21" t="n"/>
    </row>
    <row r="377">
      <c r="C377" s="21" t="n"/>
    </row>
    <row r="378">
      <c r="C378" s="21" t="n"/>
    </row>
    <row r="379">
      <c r="C379" s="21" t="n"/>
    </row>
    <row r="380">
      <c r="C380" s="21" t="n"/>
    </row>
    <row r="381">
      <c r="C381" s="21" t="n"/>
    </row>
    <row r="382">
      <c r="C382" s="21" t="n"/>
    </row>
    <row r="383">
      <c r="C383" s="21" t="n"/>
    </row>
    <row r="384">
      <c r="C384" s="21" t="n"/>
    </row>
    <row r="385">
      <c r="C385" s="21" t="n"/>
    </row>
    <row r="386">
      <c r="C386" s="21" t="n"/>
    </row>
    <row r="387">
      <c r="C387" s="21" t="n"/>
    </row>
    <row r="388">
      <c r="C388" s="21" t="n"/>
    </row>
    <row r="389">
      <c r="C389" s="21" t="n"/>
    </row>
    <row r="390">
      <c r="C390" s="21" t="n"/>
    </row>
    <row r="391">
      <c r="C391" s="21" t="n"/>
    </row>
    <row r="392">
      <c r="C392" s="21" t="n"/>
    </row>
    <row r="393">
      <c r="C393" s="21" t="n"/>
    </row>
    <row r="394">
      <c r="C394" s="21" t="n"/>
    </row>
    <row r="395">
      <c r="C395" s="21" t="n"/>
    </row>
    <row r="396">
      <c r="C396" s="21" t="n"/>
    </row>
    <row r="397">
      <c r="C397" s="21" t="n"/>
    </row>
    <row r="398">
      <c r="C398" s="21" t="n"/>
    </row>
    <row r="399">
      <c r="C399" s="21" t="n"/>
    </row>
    <row r="400">
      <c r="C400" s="21" t="n"/>
    </row>
    <row r="401">
      <c r="C401" s="21" t="n"/>
    </row>
    <row r="402">
      <c r="C402" s="21" t="n"/>
    </row>
    <row r="403">
      <c r="C403" s="21" t="n"/>
    </row>
    <row r="404">
      <c r="C404" s="21" t="n"/>
    </row>
    <row r="405">
      <c r="C405" s="21" t="n"/>
    </row>
    <row r="406">
      <c r="C406" s="21" t="n"/>
    </row>
    <row r="407">
      <c r="C407" s="21" t="n"/>
    </row>
    <row r="408">
      <c r="C408" s="21" t="n"/>
    </row>
    <row r="409">
      <c r="C409" s="21" t="n"/>
    </row>
    <row r="410">
      <c r="C410" s="21" t="n"/>
    </row>
    <row r="411">
      <c r="C411" s="21" t="n"/>
    </row>
    <row r="412">
      <c r="C412" s="21" t="n"/>
    </row>
    <row r="413">
      <c r="C413" s="21" t="n"/>
    </row>
    <row r="414">
      <c r="C414" s="21" t="n"/>
    </row>
    <row r="415">
      <c r="C415" s="21" t="n"/>
    </row>
    <row r="416">
      <c r="C416" s="21" t="n"/>
    </row>
    <row r="417">
      <c r="C417" s="21" t="n"/>
    </row>
    <row r="418">
      <c r="C418" s="21" t="n"/>
    </row>
    <row r="419">
      <c r="C419" s="21" t="n"/>
    </row>
    <row r="420">
      <c r="C420" s="21" t="n"/>
    </row>
    <row r="421">
      <c r="C421" s="21" t="n"/>
    </row>
    <row r="422">
      <c r="C422" s="21" t="n"/>
    </row>
    <row r="423">
      <c r="C423" s="21" t="n"/>
    </row>
    <row r="424">
      <c r="C424" s="21" t="n"/>
    </row>
    <row r="425">
      <c r="C425" s="21" t="n"/>
    </row>
    <row r="426">
      <c r="C426" s="21" t="n"/>
    </row>
    <row r="427">
      <c r="C427" s="21" t="n"/>
    </row>
    <row r="428">
      <c r="C428" s="21" t="n"/>
    </row>
    <row r="429">
      <c r="C429" s="21" t="n"/>
    </row>
    <row r="430">
      <c r="C430" s="21" t="n"/>
    </row>
    <row r="431">
      <c r="C431" s="21" t="n"/>
    </row>
    <row r="432">
      <c r="C432" s="21" t="n"/>
    </row>
    <row r="433">
      <c r="C433" s="21" t="n"/>
    </row>
    <row r="434">
      <c r="C434" s="21" t="n"/>
    </row>
    <row r="435">
      <c r="C435" s="21" t="n"/>
    </row>
    <row r="436">
      <c r="C436" s="21" t="n"/>
    </row>
    <row r="437">
      <c r="C437" s="21" t="n"/>
    </row>
    <row r="438">
      <c r="C438" s="21" t="n"/>
    </row>
    <row r="439">
      <c r="C439" s="21" t="n"/>
    </row>
    <row r="440">
      <c r="C440" s="21" t="n"/>
    </row>
    <row r="441">
      <c r="C441" s="21" t="n"/>
    </row>
    <row r="442">
      <c r="C442" s="21" t="n"/>
    </row>
    <row r="443">
      <c r="C443" s="21" t="n"/>
    </row>
    <row r="444">
      <c r="C444" s="21" t="n"/>
    </row>
    <row r="445">
      <c r="C445" s="21" t="n"/>
    </row>
    <row r="446">
      <c r="C446" s="21" t="n"/>
    </row>
    <row r="447">
      <c r="C447" s="21" t="n"/>
    </row>
    <row r="448">
      <c r="C448" s="21" t="n"/>
    </row>
    <row r="449">
      <c r="C449" s="21" t="n"/>
    </row>
    <row r="450">
      <c r="C450" s="21" t="n"/>
    </row>
    <row r="451">
      <c r="C451" s="21" t="n"/>
    </row>
    <row r="452">
      <c r="C452" s="21" t="n"/>
    </row>
    <row r="453">
      <c r="C453" s="21" t="n"/>
    </row>
    <row r="454">
      <c r="C454" s="21" t="n"/>
    </row>
    <row r="455">
      <c r="C455" s="21" t="n"/>
    </row>
    <row r="456">
      <c r="C456" s="21" t="n"/>
    </row>
    <row r="457">
      <c r="C457" s="21" t="n"/>
    </row>
    <row r="458">
      <c r="C458" s="21" t="n"/>
    </row>
    <row r="459">
      <c r="C459" s="21" t="n"/>
    </row>
    <row r="460">
      <c r="C460" s="21" t="n"/>
    </row>
    <row r="461">
      <c r="C461" s="21" t="n"/>
    </row>
    <row r="462">
      <c r="C462" s="21" t="n"/>
    </row>
    <row r="463">
      <c r="C463" s="21" t="n"/>
    </row>
    <row r="464">
      <c r="C464" s="21" t="n"/>
    </row>
    <row r="465">
      <c r="C465" s="21" t="n"/>
    </row>
    <row r="466">
      <c r="C466" s="21" t="n"/>
    </row>
    <row r="467">
      <c r="C467" s="21" t="n"/>
    </row>
    <row r="468">
      <c r="C468" s="21" t="n"/>
    </row>
    <row r="469">
      <c r="C469" s="21" t="n"/>
    </row>
    <row r="470">
      <c r="C470" s="21" t="n"/>
    </row>
    <row r="471">
      <c r="C471" s="21" t="n"/>
    </row>
    <row r="472">
      <c r="C472" s="21" t="n"/>
    </row>
    <row r="473">
      <c r="C473" s="21" t="n"/>
    </row>
    <row r="474">
      <c r="C474" s="21" t="n"/>
    </row>
    <row r="475">
      <c r="C475" s="21" t="n"/>
    </row>
    <row r="476">
      <c r="C476" s="21" t="n"/>
    </row>
    <row r="477">
      <c r="C477" s="21" t="n"/>
    </row>
    <row r="478">
      <c r="C478" s="21" t="n"/>
    </row>
    <row r="479">
      <c r="C479" s="21" t="n"/>
    </row>
    <row r="480">
      <c r="C480" s="21" t="n"/>
    </row>
    <row r="481">
      <c r="C481" s="21" t="n"/>
    </row>
    <row r="482">
      <c r="C482" s="21" t="n"/>
    </row>
    <row r="483">
      <c r="C483" s="21" t="n"/>
    </row>
    <row r="484">
      <c r="C484" s="21" t="n"/>
    </row>
    <row r="485">
      <c r="C485" s="21" t="n"/>
    </row>
    <row r="486">
      <c r="C486" s="21" t="n"/>
    </row>
    <row r="487">
      <c r="C487" s="21" t="n"/>
    </row>
    <row r="488">
      <c r="C488" s="21" t="n"/>
    </row>
    <row r="489">
      <c r="C489" s="21" t="n"/>
    </row>
    <row r="490">
      <c r="C490" s="21" t="n"/>
    </row>
    <row r="491">
      <c r="C491" s="21" t="n"/>
    </row>
    <row r="492">
      <c r="C492" s="21" t="n"/>
    </row>
    <row r="493">
      <c r="C493" s="21" t="n"/>
    </row>
    <row r="494">
      <c r="C494" s="21" t="n"/>
    </row>
    <row r="495">
      <c r="C495" s="21" t="n"/>
    </row>
    <row r="496">
      <c r="C496" s="21" t="n"/>
    </row>
    <row r="497">
      <c r="C497" s="21" t="n"/>
    </row>
    <row r="498">
      <c r="C498" s="21" t="n"/>
    </row>
    <row r="499">
      <c r="C499" s="21" t="n"/>
    </row>
    <row r="500">
      <c r="C500" s="21" t="n"/>
    </row>
    <row r="501">
      <c r="C501" s="21" t="n"/>
    </row>
    <row r="502">
      <c r="C502" s="21" t="n"/>
    </row>
    <row r="503">
      <c r="C503" s="21" t="n"/>
    </row>
    <row r="504">
      <c r="C504" s="21" t="n"/>
    </row>
    <row r="505">
      <c r="C505" s="21" t="n"/>
    </row>
    <row r="506">
      <c r="C506" s="21" t="n"/>
    </row>
    <row r="507">
      <c r="C507" s="21" t="n"/>
    </row>
    <row r="508">
      <c r="C508" s="21" t="n"/>
    </row>
    <row r="509">
      <c r="C509" s="21" t="n"/>
    </row>
    <row r="510">
      <c r="C510" s="21" t="n"/>
    </row>
    <row r="511">
      <c r="C511" s="21" t="n"/>
    </row>
    <row r="512">
      <c r="C512" s="21" t="n"/>
    </row>
    <row r="513">
      <c r="C513" s="21" t="n"/>
    </row>
    <row r="514">
      <c r="C514" s="21" t="n"/>
    </row>
    <row r="515">
      <c r="C515" s="21" t="n"/>
    </row>
    <row r="516">
      <c r="C516" s="21" t="n"/>
    </row>
    <row r="517">
      <c r="C517" s="21" t="n"/>
    </row>
    <row r="518">
      <c r="C518" s="21" t="n"/>
    </row>
    <row r="519">
      <c r="C519" s="21" t="n"/>
    </row>
    <row r="520">
      <c r="C520" s="21" t="n"/>
    </row>
    <row r="521">
      <c r="C521" s="21" t="n"/>
    </row>
    <row r="522">
      <c r="C522" s="21" t="n"/>
    </row>
    <row r="523">
      <c r="C523" s="21" t="n"/>
    </row>
    <row r="524">
      <c r="C524" s="21" t="n"/>
    </row>
    <row r="525">
      <c r="C525" s="21" t="n"/>
    </row>
    <row r="526">
      <c r="C526" s="21" t="n"/>
    </row>
    <row r="527">
      <c r="C527" s="21" t="n"/>
    </row>
    <row r="528">
      <c r="C528" s="21" t="n"/>
    </row>
    <row r="529">
      <c r="C529" s="21" t="n"/>
    </row>
    <row r="530">
      <c r="C530" s="21" t="n"/>
    </row>
    <row r="531">
      <c r="C531" s="21" t="n"/>
    </row>
    <row r="532">
      <c r="C532" s="21" t="n"/>
    </row>
    <row r="533">
      <c r="C533" s="21" t="n"/>
    </row>
    <row r="534">
      <c r="C534" s="21" t="n"/>
    </row>
    <row r="535">
      <c r="C535" s="21" t="n"/>
    </row>
    <row r="536">
      <c r="C536" s="21" t="n"/>
    </row>
    <row r="537">
      <c r="C537" s="21" t="n"/>
    </row>
    <row r="538">
      <c r="C538" s="21" t="n"/>
    </row>
    <row r="539">
      <c r="C539" s="21" t="n"/>
    </row>
    <row r="540">
      <c r="C540" s="21" t="n"/>
    </row>
    <row r="541">
      <c r="C541" s="21" t="n"/>
    </row>
    <row r="542">
      <c r="C542" s="21" t="n"/>
    </row>
    <row r="543">
      <c r="C543" s="21" t="n"/>
    </row>
    <row r="544">
      <c r="C544" s="21" t="n"/>
    </row>
    <row r="545">
      <c r="C545" s="21" t="n"/>
    </row>
    <row r="546">
      <c r="C546" s="21" t="n"/>
    </row>
    <row r="547">
      <c r="C547" s="21" t="n"/>
    </row>
    <row r="548">
      <c r="C548" s="21" t="n"/>
    </row>
    <row r="549">
      <c r="C549" s="21" t="n"/>
    </row>
    <row r="550">
      <c r="C550" s="21" t="n"/>
    </row>
    <row r="551">
      <c r="C551" s="21" t="n"/>
    </row>
    <row r="552">
      <c r="C552" s="21" t="n"/>
    </row>
    <row r="553">
      <c r="C553" s="21" t="n"/>
    </row>
    <row r="554">
      <c r="C554" s="21" t="n"/>
    </row>
    <row r="555">
      <c r="C555" s="21" t="n"/>
    </row>
    <row r="556">
      <c r="C556" s="21" t="n"/>
    </row>
    <row r="557">
      <c r="C557" s="21" t="n"/>
    </row>
    <row r="558">
      <c r="C558" s="21" t="n"/>
    </row>
    <row r="559">
      <c r="C559" s="21" t="n"/>
    </row>
    <row r="560">
      <c r="C560" s="21" t="n"/>
    </row>
    <row r="561">
      <c r="C561" s="21" t="n"/>
    </row>
    <row r="562">
      <c r="C562" s="21" t="n"/>
    </row>
    <row r="563">
      <c r="C563" s="21" t="n"/>
    </row>
    <row r="564">
      <c r="C564" s="21" t="n"/>
    </row>
    <row r="565">
      <c r="C565" s="21" t="n"/>
    </row>
    <row r="566">
      <c r="C566" s="21" t="n"/>
    </row>
    <row r="567">
      <c r="C567" s="21" t="n"/>
    </row>
    <row r="568">
      <c r="C568" s="21" t="n"/>
    </row>
    <row r="569">
      <c r="C569" s="21" t="n"/>
    </row>
    <row r="570">
      <c r="C570" s="21" t="n"/>
    </row>
    <row r="571">
      <c r="C571" s="21" t="n"/>
    </row>
    <row r="572">
      <c r="C572" s="21" t="n"/>
    </row>
    <row r="573">
      <c r="C573" s="21" t="n"/>
    </row>
    <row r="574">
      <c r="C574" s="21" t="n"/>
    </row>
    <row r="575">
      <c r="C575" s="21" t="n"/>
    </row>
    <row r="576">
      <c r="C576" s="21" t="n"/>
    </row>
    <row r="577">
      <c r="C577" s="21" t="n"/>
    </row>
    <row r="578">
      <c r="C578" s="21" t="n"/>
    </row>
    <row r="579">
      <c r="C579" s="21" t="n"/>
    </row>
    <row r="580">
      <c r="C580" s="21" t="n"/>
    </row>
    <row r="581">
      <c r="C581" s="21" t="n"/>
    </row>
    <row r="582">
      <c r="C582" s="21" t="n"/>
    </row>
    <row r="583">
      <c r="C583" s="21" t="n"/>
    </row>
    <row r="584">
      <c r="C584" s="21" t="n"/>
    </row>
    <row r="585">
      <c r="C585" s="21" t="n"/>
    </row>
    <row r="586">
      <c r="C586" s="21" t="n"/>
    </row>
    <row r="587">
      <c r="C587" s="21" t="n"/>
    </row>
    <row r="588">
      <c r="C588" s="21" t="n"/>
    </row>
    <row r="589">
      <c r="C589" s="21" t="n"/>
    </row>
    <row r="590">
      <c r="C590" s="21" t="n"/>
    </row>
    <row r="591">
      <c r="C591" s="21" t="n"/>
    </row>
    <row r="592">
      <c r="C592" s="21" t="n"/>
    </row>
    <row r="593">
      <c r="C593" s="21" t="n"/>
    </row>
    <row r="594">
      <c r="C594" s="21" t="n"/>
    </row>
    <row r="595">
      <c r="C595" s="21" t="n"/>
    </row>
    <row r="596">
      <c r="C596" s="21" t="n"/>
    </row>
    <row r="597">
      <c r="C597" s="21" t="n"/>
    </row>
    <row r="598">
      <c r="C598" s="21" t="n"/>
    </row>
    <row r="599">
      <c r="C599" s="21" t="n"/>
    </row>
    <row r="600">
      <c r="C600" s="21" t="n"/>
    </row>
    <row r="601">
      <c r="C601" s="21" t="n"/>
    </row>
    <row r="602">
      <c r="C602" s="21" t="n"/>
    </row>
    <row r="603">
      <c r="C603" s="21" t="n"/>
    </row>
    <row r="604">
      <c r="C604" s="21" t="n"/>
    </row>
    <row r="605">
      <c r="C605" s="21" t="n"/>
    </row>
    <row r="606">
      <c r="C606" s="21" t="n"/>
    </row>
    <row r="607">
      <c r="C607" s="21" t="n"/>
    </row>
    <row r="608">
      <c r="C608" s="21" t="n"/>
    </row>
    <row r="609">
      <c r="C609" s="21" t="n"/>
    </row>
    <row r="610">
      <c r="C610" s="21" t="n"/>
    </row>
    <row r="611">
      <c r="C611" s="21" t="n"/>
    </row>
    <row r="612">
      <c r="C612" s="21" t="n"/>
    </row>
    <row r="613">
      <c r="C613" s="21" t="n"/>
    </row>
    <row r="614">
      <c r="C614" s="21" t="n"/>
    </row>
    <row r="615">
      <c r="C615" s="21" t="n"/>
    </row>
    <row r="616">
      <c r="C616" s="21" t="n"/>
    </row>
    <row r="617">
      <c r="C617" s="21" t="n"/>
    </row>
    <row r="618">
      <c r="C618" s="21" t="n"/>
    </row>
    <row r="619">
      <c r="C619" s="21" t="n"/>
    </row>
    <row r="620">
      <c r="C620" s="21" t="n"/>
    </row>
    <row r="621">
      <c r="C621" s="21" t="n"/>
    </row>
    <row r="622">
      <c r="C622" s="21" t="n"/>
    </row>
    <row r="623">
      <c r="C623" s="21" t="n"/>
    </row>
    <row r="624">
      <c r="C624" s="21" t="n"/>
    </row>
    <row r="625">
      <c r="C625" s="21" t="n"/>
    </row>
    <row r="626">
      <c r="C626" s="21" t="n"/>
    </row>
    <row r="627">
      <c r="C627" s="21" t="n"/>
    </row>
    <row r="628">
      <c r="C628" s="21" t="n"/>
    </row>
    <row r="629">
      <c r="C629" s="21" t="n"/>
    </row>
    <row r="630">
      <c r="C630" s="21" t="n"/>
    </row>
    <row r="631">
      <c r="C631" s="21" t="n"/>
    </row>
    <row r="632">
      <c r="C632" s="21" t="n"/>
    </row>
    <row r="633">
      <c r="C633" s="21" t="n"/>
    </row>
    <row r="634">
      <c r="C634" s="21" t="n"/>
    </row>
    <row r="635">
      <c r="C635" s="21" t="n"/>
    </row>
    <row r="636">
      <c r="C636" s="21" t="n"/>
    </row>
    <row r="637">
      <c r="C637" s="21" t="n"/>
    </row>
    <row r="638">
      <c r="C638" s="21" t="n"/>
    </row>
    <row r="639">
      <c r="C639" s="21" t="n"/>
    </row>
    <row r="640">
      <c r="C640" s="21" t="n"/>
    </row>
    <row r="641">
      <c r="C641" s="21" t="n"/>
    </row>
    <row r="642">
      <c r="C642" s="21" t="n"/>
    </row>
    <row r="643">
      <c r="C643" s="21" t="n"/>
    </row>
    <row r="644">
      <c r="C644" s="21" t="n"/>
    </row>
    <row r="645">
      <c r="C645" s="21" t="n"/>
    </row>
    <row r="646">
      <c r="C646" s="21" t="n"/>
    </row>
    <row r="647">
      <c r="C647" s="21" t="n"/>
    </row>
    <row r="648">
      <c r="C648" s="21" t="n"/>
    </row>
    <row r="649">
      <c r="C649" s="21" t="n"/>
    </row>
    <row r="650">
      <c r="C650" s="21" t="n"/>
    </row>
    <row r="651">
      <c r="C651" s="21" t="n"/>
    </row>
    <row r="652">
      <c r="C652" s="21" t="n"/>
    </row>
    <row r="653">
      <c r="C653" s="21" t="n"/>
    </row>
    <row r="654">
      <c r="C654" s="21" t="n"/>
    </row>
    <row r="655">
      <c r="C655" s="21" t="n"/>
    </row>
    <row r="656">
      <c r="C656" s="21" t="n"/>
    </row>
    <row r="657">
      <c r="C657" s="21" t="n"/>
    </row>
    <row r="658">
      <c r="C658" s="21" t="n"/>
    </row>
    <row r="659">
      <c r="C659" s="21" t="n"/>
    </row>
    <row r="660">
      <c r="C660" s="21" t="n"/>
    </row>
    <row r="661">
      <c r="C661" s="21" t="n"/>
    </row>
    <row r="662">
      <c r="C662" s="21" t="n"/>
    </row>
    <row r="663">
      <c r="C663" s="21" t="n"/>
    </row>
    <row r="664">
      <c r="C664" s="21" t="n"/>
    </row>
    <row r="665">
      <c r="C665" s="21" t="n"/>
    </row>
    <row r="666">
      <c r="C666" s="21" t="n"/>
    </row>
    <row r="667">
      <c r="C667" s="21" t="n"/>
    </row>
    <row r="668">
      <c r="C668" s="21" t="n"/>
    </row>
    <row r="669">
      <c r="C669" s="21" t="n"/>
    </row>
    <row r="670">
      <c r="C670" s="21" t="n"/>
    </row>
    <row r="671">
      <c r="C671" s="21" t="n"/>
    </row>
    <row r="672">
      <c r="C672" s="21" t="n"/>
    </row>
    <row r="673">
      <c r="C673" s="21" t="n"/>
    </row>
    <row r="674">
      <c r="C674" s="21" t="n"/>
    </row>
    <row r="675">
      <c r="C675" s="21" t="n"/>
    </row>
    <row r="676">
      <c r="C676" s="21" t="n"/>
    </row>
    <row r="677">
      <c r="C677" s="21" t="n"/>
    </row>
    <row r="678">
      <c r="C678" s="21" t="n"/>
    </row>
    <row r="679">
      <c r="C679" s="21" t="n"/>
    </row>
    <row r="680">
      <c r="C680" s="21" t="n"/>
    </row>
    <row r="681">
      <c r="C681" s="21" t="n"/>
    </row>
    <row r="682">
      <c r="C682" s="21" t="n"/>
    </row>
    <row r="683">
      <c r="C683" s="21" t="n"/>
    </row>
    <row r="684">
      <c r="C684" s="21" t="n"/>
    </row>
    <row r="685">
      <c r="C685" s="21" t="n"/>
    </row>
    <row r="686">
      <c r="C686" s="21" t="n"/>
    </row>
    <row r="687">
      <c r="C687" s="21" t="n"/>
    </row>
    <row r="688">
      <c r="C688" s="21" t="n"/>
    </row>
    <row r="689">
      <c r="C689" s="21" t="n"/>
    </row>
    <row r="690">
      <c r="C690" s="21" t="n"/>
    </row>
    <row r="691">
      <c r="C691" s="21" t="n"/>
    </row>
    <row r="692">
      <c r="C692" s="21" t="n"/>
    </row>
    <row r="693">
      <c r="C693" s="21" t="n"/>
    </row>
    <row r="694">
      <c r="C694" s="21" t="n"/>
    </row>
    <row r="695">
      <c r="C695" s="21" t="n"/>
    </row>
    <row r="696">
      <c r="C696" s="21" t="n"/>
    </row>
    <row r="697">
      <c r="C697" s="21" t="n"/>
    </row>
    <row r="698">
      <c r="C698" s="21" t="n"/>
    </row>
    <row r="699">
      <c r="C699" s="21" t="n"/>
    </row>
    <row r="700">
      <c r="C700" s="21" t="n"/>
    </row>
    <row r="701">
      <c r="C701" s="21" t="n"/>
    </row>
    <row r="702">
      <c r="C702" s="21" t="n"/>
    </row>
    <row r="703">
      <c r="C703" s="21" t="n"/>
    </row>
    <row r="704">
      <c r="C704" s="21" t="n"/>
    </row>
    <row r="705">
      <c r="C705" s="21" t="n"/>
    </row>
    <row r="706">
      <c r="C706" s="21" t="n"/>
    </row>
    <row r="707">
      <c r="C707" s="21" t="n"/>
    </row>
    <row r="708">
      <c r="C708" s="21" t="n"/>
    </row>
    <row r="709">
      <c r="C709" s="21" t="n"/>
    </row>
    <row r="710">
      <c r="C710" s="21" t="n"/>
    </row>
    <row r="711">
      <c r="C711" s="21" t="n"/>
    </row>
    <row r="712">
      <c r="C712" s="21" t="n"/>
    </row>
    <row r="713">
      <c r="C713" s="21" t="n"/>
    </row>
    <row r="714">
      <c r="C714" s="21" t="n"/>
    </row>
    <row r="715">
      <c r="C715" s="21" t="n"/>
    </row>
    <row r="716">
      <c r="C716" s="21" t="n"/>
    </row>
    <row r="717">
      <c r="C717" s="21" t="n"/>
    </row>
    <row r="718">
      <c r="C718" s="21" t="n"/>
    </row>
    <row r="719">
      <c r="C719" s="21" t="n"/>
    </row>
    <row r="720">
      <c r="C720" s="21" t="n"/>
    </row>
    <row r="721">
      <c r="C721" s="21" t="n"/>
    </row>
    <row r="722">
      <c r="C722" s="21" t="n"/>
    </row>
    <row r="723">
      <c r="C723" s="21" t="n"/>
    </row>
    <row r="724">
      <c r="C724" s="21" t="n"/>
    </row>
    <row r="725">
      <c r="C725" s="21" t="n"/>
    </row>
    <row r="726">
      <c r="C726" s="21" t="n"/>
    </row>
    <row r="727">
      <c r="C727" s="21" t="n"/>
    </row>
    <row r="728">
      <c r="C728" s="21" t="n"/>
    </row>
    <row r="729">
      <c r="C729" s="21" t="n"/>
    </row>
    <row r="730">
      <c r="C730" s="21" t="n"/>
    </row>
    <row r="731">
      <c r="C731" s="21" t="n"/>
    </row>
    <row r="732">
      <c r="C732" s="21" t="n"/>
    </row>
    <row r="733">
      <c r="C733" s="21" t="n"/>
    </row>
    <row r="734">
      <c r="C734" s="21" t="n"/>
    </row>
    <row r="735">
      <c r="C735" s="21" t="n"/>
    </row>
    <row r="736">
      <c r="C736" s="21" t="n"/>
    </row>
    <row r="737">
      <c r="C737" s="21" t="n"/>
    </row>
    <row r="738">
      <c r="C738" s="21" t="n"/>
    </row>
    <row r="739">
      <c r="C739" s="21" t="n"/>
    </row>
    <row r="740">
      <c r="C740" s="21" t="n"/>
    </row>
    <row r="741">
      <c r="C741" s="21" t="n"/>
    </row>
    <row r="742">
      <c r="C742" s="21" t="n"/>
    </row>
    <row r="743">
      <c r="C743" s="21" t="n"/>
    </row>
    <row r="744">
      <c r="C744" s="21" t="n"/>
    </row>
    <row r="745">
      <c r="C745" s="21" t="n"/>
    </row>
    <row r="746">
      <c r="C746" s="21" t="n"/>
    </row>
    <row r="747">
      <c r="C747" s="21" t="n"/>
    </row>
    <row r="748">
      <c r="C748" s="21" t="n"/>
    </row>
    <row r="749">
      <c r="C749" s="21" t="n"/>
    </row>
    <row r="750">
      <c r="C750" s="21" t="n"/>
    </row>
    <row r="751">
      <c r="C751" s="21" t="n"/>
    </row>
    <row r="752">
      <c r="C752" s="21" t="n"/>
    </row>
    <row r="753">
      <c r="C753" s="21" t="n"/>
    </row>
    <row r="754">
      <c r="C754" s="21" t="n"/>
    </row>
    <row r="755">
      <c r="C755" s="21" t="n"/>
    </row>
    <row r="756">
      <c r="C756" s="21" t="n"/>
    </row>
    <row r="757">
      <c r="C757" s="21" t="n"/>
    </row>
    <row r="758">
      <c r="C758" s="21" t="n"/>
    </row>
    <row r="759">
      <c r="C759" s="21" t="n"/>
    </row>
    <row r="760">
      <c r="C760" s="21" t="n"/>
    </row>
    <row r="761">
      <c r="C761" s="21" t="n"/>
    </row>
    <row r="762">
      <c r="C762" s="21" t="n"/>
    </row>
    <row r="763">
      <c r="C763" s="21" t="n"/>
    </row>
    <row r="764">
      <c r="C764" s="21" t="n"/>
    </row>
    <row r="765">
      <c r="C765" s="21" t="n"/>
    </row>
    <row r="766">
      <c r="C766" s="21" t="n"/>
    </row>
    <row r="767">
      <c r="C767" s="21" t="n"/>
    </row>
    <row r="768">
      <c r="C768" s="21" t="n"/>
    </row>
    <row r="769">
      <c r="C769" s="21" t="n"/>
    </row>
    <row r="770">
      <c r="C770" s="21" t="n"/>
    </row>
    <row r="771">
      <c r="C771" s="21" t="n"/>
    </row>
    <row r="772">
      <c r="C772" s="21" t="n"/>
    </row>
    <row r="773">
      <c r="C773" s="21" t="n"/>
    </row>
    <row r="774">
      <c r="C774" s="21" t="n"/>
    </row>
    <row r="775">
      <c r="C775" s="21" t="n"/>
    </row>
    <row r="776">
      <c r="C776" s="21" t="n"/>
    </row>
    <row r="777">
      <c r="C777" s="21" t="n"/>
    </row>
    <row r="778">
      <c r="C778" s="21" t="n"/>
    </row>
    <row r="779">
      <c r="C779" s="21" t="n"/>
    </row>
    <row r="780">
      <c r="C780" s="21" t="n"/>
    </row>
    <row r="781">
      <c r="C781" s="21" t="n"/>
    </row>
    <row r="782">
      <c r="C782" s="21" t="n"/>
    </row>
    <row r="783">
      <c r="C783" s="21" t="n"/>
    </row>
    <row r="784">
      <c r="C784" s="21" t="n"/>
    </row>
    <row r="785">
      <c r="C785" s="21" t="n"/>
    </row>
    <row r="786">
      <c r="C786" s="21" t="n"/>
    </row>
    <row r="787">
      <c r="C787" s="21" t="n"/>
    </row>
    <row r="788">
      <c r="C788" s="21" t="n"/>
    </row>
    <row r="789">
      <c r="C789" s="21" t="n"/>
    </row>
    <row r="790">
      <c r="C790" s="21" t="n"/>
    </row>
    <row r="791">
      <c r="C791" s="21" t="n"/>
    </row>
    <row r="792">
      <c r="C792" s="21" t="n"/>
    </row>
    <row r="793">
      <c r="C793" s="21" t="n"/>
    </row>
    <row r="794">
      <c r="C794" s="21" t="n"/>
    </row>
    <row r="795">
      <c r="C795" s="21" t="n"/>
    </row>
    <row r="796">
      <c r="C796" s="21" t="n"/>
    </row>
    <row r="797">
      <c r="C797" s="21" t="n"/>
    </row>
    <row r="798">
      <c r="C798" s="21" t="n"/>
    </row>
    <row r="799">
      <c r="C799" s="21" t="n"/>
    </row>
    <row r="800">
      <c r="C800" s="21" t="n"/>
    </row>
    <row r="801">
      <c r="C801" s="21" t="n"/>
    </row>
    <row r="802">
      <c r="C802" s="21" t="n"/>
    </row>
    <row r="803">
      <c r="C803" s="21" t="n"/>
    </row>
    <row r="804">
      <c r="C804" s="21" t="n"/>
    </row>
    <row r="805">
      <c r="C805" s="21" t="n"/>
    </row>
    <row r="806">
      <c r="C806" s="21" t="n"/>
    </row>
    <row r="807">
      <c r="C807" s="21" t="n"/>
    </row>
    <row r="808">
      <c r="C808" s="21" t="n"/>
    </row>
    <row r="809">
      <c r="C809" s="21" t="n"/>
    </row>
    <row r="810">
      <c r="C810" s="21" t="n"/>
    </row>
    <row r="811">
      <c r="C811" s="21" t="n"/>
    </row>
    <row r="812">
      <c r="C812" s="21" t="n"/>
    </row>
    <row r="813">
      <c r="C813" s="21" t="n"/>
    </row>
    <row r="814">
      <c r="C814" s="21" t="n"/>
    </row>
    <row r="815">
      <c r="C815" s="21" t="n"/>
    </row>
    <row r="816">
      <c r="C816" s="21" t="n"/>
    </row>
    <row r="817">
      <c r="C817" s="21" t="n"/>
    </row>
    <row r="818">
      <c r="C818" s="21" t="n"/>
    </row>
    <row r="819">
      <c r="C819" s="21" t="n"/>
    </row>
    <row r="820">
      <c r="C820" s="21" t="n"/>
    </row>
    <row r="821">
      <c r="C821" s="21" t="n"/>
    </row>
    <row r="822">
      <c r="C822" s="21" t="n"/>
    </row>
    <row r="823">
      <c r="C823" s="21" t="n"/>
    </row>
    <row r="824">
      <c r="C824" s="21" t="n"/>
    </row>
    <row r="825">
      <c r="C825" s="21" t="n"/>
    </row>
    <row r="826">
      <c r="C826" s="21" t="n"/>
    </row>
    <row r="827">
      <c r="C827" s="21" t="n"/>
    </row>
    <row r="828">
      <c r="C828" s="21" t="n"/>
    </row>
    <row r="829">
      <c r="C829" s="21" t="n"/>
    </row>
    <row r="830">
      <c r="C830" s="21" t="n"/>
    </row>
    <row r="831">
      <c r="C831" s="21" t="n"/>
    </row>
    <row r="832">
      <c r="C832" s="21" t="n"/>
    </row>
    <row r="833">
      <c r="C833" s="21" t="n"/>
    </row>
    <row r="834">
      <c r="C834" s="21" t="n"/>
    </row>
    <row r="835">
      <c r="C835" s="21" t="n"/>
    </row>
    <row r="836">
      <c r="C836" s="21" t="n"/>
    </row>
    <row r="837">
      <c r="C837" s="21" t="n"/>
    </row>
    <row r="838">
      <c r="C838" s="21" t="n"/>
    </row>
    <row r="839">
      <c r="C839" s="21" t="n"/>
    </row>
    <row r="840">
      <c r="C840" s="21" t="n"/>
    </row>
    <row r="841">
      <c r="C841" s="21" t="n"/>
    </row>
    <row r="842">
      <c r="C842" s="21" t="n"/>
    </row>
    <row r="843">
      <c r="C843" s="21" t="n"/>
    </row>
    <row r="844">
      <c r="C844" s="21" t="n"/>
    </row>
    <row r="845">
      <c r="C845" s="21" t="n"/>
    </row>
    <row r="846">
      <c r="C846" s="21" t="n"/>
    </row>
    <row r="847">
      <c r="C847" s="21" t="n"/>
    </row>
    <row r="848">
      <c r="C848" s="21" t="n"/>
    </row>
    <row r="849">
      <c r="C849" s="21" t="n"/>
    </row>
    <row r="850">
      <c r="C850" s="21" t="n"/>
    </row>
    <row r="851">
      <c r="C851" s="21" t="n"/>
    </row>
    <row r="852">
      <c r="C852" s="21" t="n"/>
    </row>
    <row r="853">
      <c r="C853" s="21" t="n"/>
    </row>
    <row r="854">
      <c r="C854" s="21" t="n"/>
    </row>
    <row r="855">
      <c r="C855" s="21" t="n"/>
    </row>
    <row r="856">
      <c r="C856" s="21" t="n"/>
    </row>
    <row r="857">
      <c r="C857" s="21" t="n"/>
    </row>
    <row r="858">
      <c r="C858" s="21" t="n"/>
    </row>
    <row r="859">
      <c r="C859" s="21" t="n"/>
    </row>
    <row r="860">
      <c r="C860" s="21" t="n"/>
    </row>
    <row r="861">
      <c r="C861" s="21" t="n"/>
    </row>
    <row r="862">
      <c r="C862" s="21" t="n"/>
    </row>
    <row r="863">
      <c r="C863" s="21" t="n"/>
    </row>
    <row r="864">
      <c r="C864" s="21" t="n"/>
    </row>
    <row r="865">
      <c r="C865" s="21" t="n"/>
    </row>
    <row r="866">
      <c r="C866" s="21" t="n"/>
    </row>
    <row r="867">
      <c r="C867" s="21" t="n"/>
    </row>
    <row r="868">
      <c r="C868" s="21" t="n"/>
    </row>
    <row r="869">
      <c r="C869" s="21" t="n"/>
    </row>
    <row r="870">
      <c r="C870" s="21" t="n"/>
    </row>
    <row r="871">
      <c r="C871" s="21" t="n"/>
    </row>
    <row r="872">
      <c r="C872" s="21" t="n"/>
    </row>
    <row r="873">
      <c r="C873" s="21" t="n"/>
    </row>
    <row r="874">
      <c r="C874" s="21" t="n"/>
    </row>
    <row r="875">
      <c r="C875" s="21" t="n"/>
    </row>
    <row r="876">
      <c r="C876" s="21" t="n"/>
    </row>
    <row r="877">
      <c r="C877" s="21" t="n"/>
    </row>
    <row r="878">
      <c r="C878" s="21" t="n"/>
    </row>
    <row r="879">
      <c r="C879" s="21" t="n"/>
    </row>
    <row r="880">
      <c r="C880" s="21" t="n"/>
    </row>
    <row r="881">
      <c r="C881" s="21" t="n"/>
    </row>
    <row r="882">
      <c r="C882" s="21" t="n"/>
    </row>
    <row r="883">
      <c r="C883" s="21" t="n"/>
    </row>
    <row r="884">
      <c r="C884" s="21" t="n"/>
    </row>
    <row r="885">
      <c r="C885" s="21" t="n"/>
    </row>
    <row r="886">
      <c r="C886" s="21" t="n"/>
    </row>
    <row r="887">
      <c r="C887" s="21" t="n"/>
    </row>
    <row r="888">
      <c r="C888" s="21" t="n"/>
    </row>
    <row r="889">
      <c r="C889" s="21" t="n"/>
    </row>
    <row r="890">
      <c r="C890" s="21" t="n"/>
    </row>
    <row r="891">
      <c r="C891" s="21" t="n"/>
    </row>
    <row r="892">
      <c r="C892" s="21" t="n"/>
    </row>
    <row r="893">
      <c r="C893" s="21" t="n"/>
    </row>
    <row r="894">
      <c r="C894" s="21" t="n"/>
    </row>
    <row r="895">
      <c r="C895" s="21" t="n"/>
    </row>
    <row r="896">
      <c r="C896" s="21" t="n"/>
    </row>
    <row r="897">
      <c r="C897" s="21" t="n"/>
    </row>
    <row r="898">
      <c r="C898" s="21" t="n"/>
    </row>
    <row r="899">
      <c r="C899" s="21" t="n"/>
    </row>
    <row r="900">
      <c r="C900" s="21" t="n"/>
    </row>
    <row r="901">
      <c r="C901" s="21" t="n"/>
    </row>
    <row r="902">
      <c r="C902" s="21" t="n"/>
    </row>
    <row r="903">
      <c r="C903" s="21" t="n"/>
    </row>
    <row r="904">
      <c r="C904" s="21" t="n"/>
    </row>
    <row r="905">
      <c r="C905" s="21" t="n"/>
    </row>
    <row r="906">
      <c r="C906" s="21" t="n"/>
    </row>
    <row r="907">
      <c r="C907" s="21" t="n"/>
    </row>
    <row r="908">
      <c r="C908" s="21" t="n"/>
    </row>
    <row r="909">
      <c r="C909" s="21" t="n"/>
    </row>
    <row r="910">
      <c r="C910" s="21" t="n"/>
    </row>
    <row r="911">
      <c r="C911" s="21" t="n"/>
    </row>
    <row r="912">
      <c r="C912" s="21" t="n"/>
    </row>
    <row r="913">
      <c r="C913" s="21" t="n"/>
    </row>
    <row r="914">
      <c r="C914" s="21" t="n"/>
    </row>
    <row r="915">
      <c r="C915" s="21" t="n"/>
    </row>
    <row r="916">
      <c r="C916" s="21" t="n"/>
    </row>
    <row r="917">
      <c r="C917" s="21" t="n"/>
    </row>
    <row r="918">
      <c r="C918" s="21" t="n"/>
    </row>
    <row r="919">
      <c r="C919" s="21" t="n"/>
    </row>
    <row r="920">
      <c r="C920" s="21" t="n"/>
    </row>
    <row r="921">
      <c r="C921" s="21" t="n"/>
    </row>
    <row r="922">
      <c r="C922" s="21" t="n"/>
    </row>
    <row r="923">
      <c r="C923" s="21" t="n"/>
    </row>
    <row r="924">
      <c r="C924" s="21" t="n"/>
    </row>
    <row r="925">
      <c r="C925" s="21" t="n"/>
    </row>
    <row r="926">
      <c r="C926" s="21" t="n"/>
    </row>
    <row r="927">
      <c r="C927" s="21" t="n"/>
    </row>
    <row r="928">
      <c r="C928" s="21" t="n"/>
    </row>
    <row r="929">
      <c r="C929" s="21" t="n"/>
    </row>
    <row r="930">
      <c r="C930" s="21" t="n"/>
    </row>
    <row r="931">
      <c r="C931" s="21" t="n"/>
    </row>
    <row r="932">
      <c r="C932" s="21" t="n"/>
    </row>
    <row r="933">
      <c r="C933" s="21" t="n"/>
    </row>
    <row r="934">
      <c r="C934" s="21" t="n"/>
    </row>
    <row r="935">
      <c r="C935" s="21" t="n"/>
    </row>
    <row r="936">
      <c r="C936" s="21" t="n"/>
    </row>
    <row r="937">
      <c r="C937" s="21" t="n"/>
    </row>
    <row r="938">
      <c r="C938" s="21" t="n"/>
    </row>
    <row r="939">
      <c r="C939" s="21" t="n"/>
    </row>
    <row r="940">
      <c r="C940" s="21" t="n"/>
    </row>
    <row r="941">
      <c r="C941" s="21" t="n"/>
    </row>
    <row r="942">
      <c r="C942" s="21" t="n"/>
    </row>
    <row r="943">
      <c r="C943" s="21" t="n"/>
    </row>
    <row r="944">
      <c r="C944" s="21" t="n"/>
    </row>
    <row r="945">
      <c r="C945" s="21" t="n"/>
    </row>
    <row r="946">
      <c r="C946" s="21" t="n"/>
    </row>
    <row r="947">
      <c r="C947" s="21" t="n"/>
    </row>
    <row r="948">
      <c r="C948" s="21" t="n"/>
    </row>
    <row r="949">
      <c r="C949" s="21" t="n"/>
    </row>
    <row r="950">
      <c r="C950" s="21" t="n"/>
    </row>
    <row r="951">
      <c r="C951" s="21" t="n"/>
    </row>
    <row r="952">
      <c r="C952" s="21" t="n"/>
    </row>
    <row r="953">
      <c r="C953" s="21" t="n"/>
    </row>
    <row r="954">
      <c r="C954" s="21" t="n"/>
    </row>
    <row r="955">
      <c r="C955" s="21" t="n"/>
    </row>
    <row r="956">
      <c r="C956" s="21" t="n"/>
    </row>
    <row r="957">
      <c r="C957" s="21" t="n"/>
    </row>
    <row r="958">
      <c r="C958" s="21" t="n"/>
    </row>
    <row r="959">
      <c r="C959" s="21" t="n"/>
    </row>
    <row r="960">
      <c r="C960" s="21" t="n"/>
    </row>
    <row r="961">
      <c r="C961" s="21" t="n"/>
    </row>
    <row r="962">
      <c r="C962" s="21" t="n"/>
    </row>
    <row r="963">
      <c r="C963" s="21" t="n"/>
    </row>
    <row r="964">
      <c r="C964" s="21" t="n"/>
    </row>
    <row r="965">
      <c r="C965" s="21" t="n"/>
    </row>
    <row r="966">
      <c r="C966" s="21" t="n"/>
    </row>
    <row r="967">
      <c r="C967" s="21" t="n"/>
    </row>
    <row r="968">
      <c r="C968" s="21" t="n"/>
    </row>
    <row r="969">
      <c r="C969" s="21" t="n"/>
    </row>
    <row r="970">
      <c r="C970" s="21" t="n"/>
    </row>
    <row r="971">
      <c r="C971" s="21" t="n"/>
    </row>
    <row r="972">
      <c r="C972" s="21" t="n"/>
    </row>
    <row r="973">
      <c r="C973" s="21" t="n"/>
    </row>
    <row r="974">
      <c r="C974" s="21" t="n"/>
    </row>
    <row r="975">
      <c r="C975" s="21" t="n"/>
    </row>
    <row r="976">
      <c r="C976" s="21" t="n"/>
    </row>
    <row r="977">
      <c r="C977" s="21" t="n"/>
    </row>
    <row r="978">
      <c r="C978" s="21" t="n"/>
    </row>
    <row r="979">
      <c r="C979" s="21" t="n"/>
    </row>
    <row r="980">
      <c r="C980" s="21" t="n"/>
    </row>
    <row r="981">
      <c r="C981" s="21" t="n"/>
    </row>
    <row r="982">
      <c r="C982" s="21" t="n"/>
    </row>
    <row r="983">
      <c r="C983" s="21" t="n"/>
    </row>
    <row r="984">
      <c r="C984" s="21" t="n"/>
    </row>
    <row r="985">
      <c r="C985" s="21" t="n"/>
    </row>
    <row r="986">
      <c r="C986" s="21" t="n"/>
    </row>
    <row r="987">
      <c r="C987" s="21" t="n"/>
    </row>
    <row r="988">
      <c r="C988" s="21" t="n"/>
    </row>
    <row r="989">
      <c r="C989" s="21" t="n"/>
    </row>
    <row r="990">
      <c r="C990" s="21" t="n"/>
    </row>
    <row r="991">
      <c r="C991" s="21" t="n"/>
    </row>
    <row r="992">
      <c r="C992" s="21" t="n"/>
    </row>
    <row r="993">
      <c r="C993" s="21" t="n"/>
    </row>
    <row r="994">
      <c r="C994" s="21" t="n"/>
    </row>
    <row r="995">
      <c r="C995" s="21" t="n"/>
    </row>
    <row r="996">
      <c r="C996" s="21" t="n"/>
    </row>
    <row r="997">
      <c r="C997" s="21" t="n"/>
    </row>
    <row r="998">
      <c r="C998" s="21" t="n"/>
    </row>
    <row r="999">
      <c r="C999" s="21" t="n"/>
    </row>
    <row r="1000">
      <c r="C1000" s="21" t="n"/>
    </row>
  </sheetData>
  <dataValidations count="1">
    <dataValidation sqref="A2:A11" showDropDown="1" showInputMessage="0" showErrorMessage="0" allowBlank="1" type="custom">
      <formula1>AND(ISNUMBER(A2),(NOT(OR(NOT(ISERROR(DATEVALUE(A2))), AND(ISNUMBER(A2), LEFT(CELL("format", A2))="D")))))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3.25" customWidth="1" style="38" min="1" max="1"/>
    <col width="25.25" customWidth="1" style="38" min="2" max="2"/>
    <col width="32.5" customWidth="1" style="38" min="3" max="3"/>
    <col width="28.25" customWidth="1" style="38" min="4" max="4"/>
    <col width="41.5" customWidth="1" style="38" min="5" max="5"/>
  </cols>
  <sheetData>
    <row r="1" ht="22.5" customHeight="1" s="38">
      <c r="A1" s="9" t="inlineStr">
        <is>
          <t>S. No.</t>
        </is>
      </c>
      <c r="B1" s="10" t="inlineStr">
        <is>
          <t>Tool Name</t>
        </is>
      </c>
      <c r="C1" s="10" t="inlineStr">
        <is>
          <t>Inputs</t>
        </is>
      </c>
      <c r="D1" s="11" t="inlineStr">
        <is>
          <t>Output</t>
        </is>
      </c>
      <c r="E1" s="10" t="inlineStr">
        <is>
          <t>Example Use</t>
        </is>
      </c>
    </row>
    <row r="2" ht="22.5" customHeight="1" s="38">
      <c r="A2" s="13" t="n">
        <v>1</v>
      </c>
      <c r="B2" s="13" t="inlineStr">
        <is>
          <t>My Active Projects</t>
        </is>
      </c>
      <c r="C2" s="13" t="inlineStr">
        <is>
          <t>Current user, optional status</t>
        </is>
      </c>
      <c r="D2" s="14" t="inlineStr">
        <is>
          <t>List of accessible active projects</t>
        </is>
      </c>
      <c r="E2" s="13" t="inlineStr">
        <is>
          <t>“Show my active projects.”</t>
        </is>
      </c>
    </row>
    <row r="3" ht="22.5" customHeight="1" s="38">
      <c r="A3" s="13" t="n">
        <v>2</v>
      </c>
      <c r="B3" s="13" t="inlineStr">
        <is>
          <t>Project Details</t>
        </is>
      </c>
      <c r="C3" s="13" t="inlineStr">
        <is>
          <t>Project name or ID</t>
        </is>
      </c>
      <c r="D3" s="14" t="inlineStr">
        <is>
          <t>Project dates, manager, stage, status, priority</t>
        </is>
      </c>
      <c r="E3" s="13" t="inlineStr">
        <is>
          <t>“Show details of Project Alpha.”</t>
        </is>
      </c>
    </row>
    <row r="4" ht="22.5" customHeight="1" s="38">
      <c r="A4" s="13" t="n">
        <v>3</v>
      </c>
      <c r="B4" s="13" t="inlineStr">
        <is>
          <t>Overdue Tasks Report</t>
        </is>
      </c>
      <c r="C4" s="13" t="inlineStr">
        <is>
          <t>Project, as-of date, optional assignee</t>
        </is>
      </c>
      <c r="D4" s="14" t="inlineStr">
        <is>
          <t>Overdue tasks with owner and delay</t>
        </is>
      </c>
      <c r="E4" s="13" t="inlineStr">
        <is>
          <t>“Show overdue tasks for Project Alpha.”</t>
        </is>
      </c>
    </row>
    <row r="5" ht="22.5" customHeight="1" s="38">
      <c r="A5" s="13" t="n">
        <v>4</v>
      </c>
      <c r="B5" s="13" t="inlineStr">
        <is>
          <t>Upcoming Tasks</t>
        </is>
      </c>
      <c r="C5" s="13" t="inlineStr">
        <is>
          <t>Project, date range</t>
        </is>
      </c>
      <c r="D5" s="14" t="inlineStr">
        <is>
          <t>Tasks due during the selected period</t>
        </is>
      </c>
      <c r="E5" s="13" t="inlineStr">
        <is>
          <t>“What tasks are due this week?”</t>
        </is>
      </c>
    </row>
    <row r="6" ht="22.5" customHeight="1" s="38">
      <c r="A6" s="13" t="n">
        <v>5</v>
      </c>
      <c r="B6" s="13" t="inlineStr">
        <is>
          <t>My Open Tasks</t>
        </is>
      </c>
      <c r="C6" s="13" t="inlineStr">
        <is>
          <t>Current user, optional project</t>
        </is>
      </c>
      <c r="D6" s="14" t="inlineStr">
        <is>
          <t>Open tasks assigned to the user</t>
        </is>
      </c>
      <c r="E6" s="13" t="inlineStr">
        <is>
          <t>“Show my pending tasks.”</t>
        </is>
      </c>
    </row>
    <row r="7" ht="22.5" customHeight="1" s="38">
      <c r="A7" s="13" t="n">
        <v>6</v>
      </c>
      <c r="B7" s="13" t="inlineStr">
        <is>
          <t>Unassigned Tasks</t>
        </is>
      </c>
      <c r="C7" s="13" t="inlineStr">
        <is>
          <t>Project</t>
        </is>
      </c>
      <c r="D7" s="14" t="inlineStr">
        <is>
          <t>Tasks without an assignee</t>
        </is>
      </c>
      <c r="E7" s="13" t="inlineStr">
        <is>
          <t>“List unassigned tasks in Project Alpha.”</t>
        </is>
      </c>
    </row>
    <row r="8" ht="22.5" customHeight="1" s="38">
      <c r="A8" s="13" t="n">
        <v>7</v>
      </c>
      <c r="B8" s="13" t="inlineStr">
        <is>
          <t>Milestone Progress</t>
        </is>
      </c>
      <c r="C8" s="13" t="inlineStr">
        <is>
          <t>Project</t>
        </is>
      </c>
      <c r="D8" s="14" t="inlineStr">
        <is>
          <t>Milestones, dates, completion, linked tasks</t>
        </is>
      </c>
      <c r="E8" s="13" t="inlineStr">
        <is>
          <t>“Show milestone progress.”</t>
        </is>
      </c>
    </row>
    <row r="9" ht="22.5" customHeight="1" s="38">
      <c r="A9" s="13" t="n">
        <v>8</v>
      </c>
      <c r="B9" s="13" t="inlineStr">
        <is>
          <t>Upcoming Milestones</t>
        </is>
      </c>
      <c r="C9" s="13" t="inlineStr">
        <is>
          <t>Date range, optional project</t>
        </is>
      </c>
      <c r="D9" s="14" t="inlineStr">
        <is>
          <t>Milestones due during the period</t>
        </is>
      </c>
      <c r="E9" s="13" t="inlineStr">
        <is>
          <t>“Which milestones are due this month?”</t>
        </is>
      </c>
    </row>
    <row r="10" ht="22.5" customHeight="1" s="38">
      <c r="A10" s="13" t="n">
        <v>9</v>
      </c>
      <c r="B10" s="13" t="inlineStr">
        <is>
          <t>Project Timesheet Summary</t>
        </is>
      </c>
      <c r="C10" s="13" t="inlineStr">
        <is>
          <t>Project, start date, end date</t>
        </is>
      </c>
      <c r="D10" s="14" t="inlineStr">
        <is>
          <t>User-wise and task-wise logged hours</t>
        </is>
      </c>
      <c r="E10" s="13" t="inlineStr">
        <is>
          <t>“Show hours logged on Project Alpha this month.”</t>
        </is>
      </c>
    </row>
    <row r="11" ht="22.5" customHeight="1" s="38">
      <c r="A11" s="13" t="n">
        <v>10</v>
      </c>
      <c r="B11" s="13" t="inlineStr">
        <is>
          <t>Employee Timesheet Summary</t>
        </is>
      </c>
      <c r="C11" s="13" t="inlineStr">
        <is>
          <t>Employee, date range</t>
        </is>
      </c>
      <c r="D11" s="14" t="inlineStr">
        <is>
          <t>Hours logged by project and task</t>
        </is>
      </c>
      <c r="E11" s="13" t="inlineStr">
        <is>
          <t>“Show Rahul’s timesheet for this week.”</t>
        </is>
      </c>
    </row>
    <row r="12" ht="22.5" customHeight="1" s="38">
      <c r="A12" s="13" t="n">
        <v>11</v>
      </c>
      <c r="B12" s="13" t="inlineStr">
        <is>
          <t>Resource Allocation Summary</t>
        </is>
      </c>
      <c r="C12" s="13" t="inlineStr">
        <is>
          <t>Employee or project, date range</t>
        </is>
      </c>
      <c r="D12" s="14" t="inlineStr">
        <is>
          <t>Assignments and allocation percentages</t>
        </is>
      </c>
      <c r="E12" s="13" t="inlineStr">
        <is>
          <t>“Show current allocation for Priya.”</t>
        </is>
      </c>
    </row>
    <row r="13" ht="22.5" customHeight="1" s="38">
      <c r="A13" s="13" t="n">
        <v>12</v>
      </c>
      <c r="B13" s="13" t="inlineStr">
        <is>
          <t>Project Team List</t>
        </is>
      </c>
      <c r="C13" s="13" t="inlineStr">
        <is>
          <t>Project</t>
        </is>
      </c>
      <c r="D13" s="14" t="inlineStr">
        <is>
          <t>Members, roles, departments, access</t>
        </is>
      </c>
      <c r="E13" s="13" t="inlineStr">
        <is>
          <t>“Who is working on Project Alpha?”</t>
        </is>
      </c>
    </row>
    <row r="14" ht="22.5" customHeight="1" s="38">
      <c r="A14" s="13" t="n">
        <v>13</v>
      </c>
      <c r="B14" s="13" t="inlineStr">
        <is>
          <t>Open Risks</t>
        </is>
      </c>
      <c r="C14" s="13" t="inlineStr">
        <is>
          <t>Project, optional status</t>
        </is>
      </c>
      <c r="D14" s="14" t="inlineStr">
        <is>
          <t>Open risks with owner and impact</t>
        </is>
      </c>
      <c r="E14" s="13" t="inlineStr">
        <is>
          <t>“Show open risks for Project Alpha.”</t>
        </is>
      </c>
    </row>
    <row r="15" ht="22.5" customHeight="1" s="38">
      <c r="A15" s="13" t="n">
        <v>14</v>
      </c>
      <c r="B15" s="13" t="inlineStr">
        <is>
          <t>Open Issues</t>
        </is>
      </c>
      <c r="C15" s="13" t="inlineStr">
        <is>
          <t>Project, optional status</t>
        </is>
      </c>
      <c r="D15" s="14" t="inlineStr">
        <is>
          <t>Open issues with owners and dates</t>
        </is>
      </c>
      <c r="E15" s="13" t="inlineStr">
        <is>
          <t>“List unresolved project issues.”</t>
        </is>
      </c>
    </row>
    <row r="16" ht="22.5" customHeight="1" s="38">
      <c r="A16" s="13" t="n">
        <v>15</v>
      </c>
      <c r="B16" s="13" t="inlineStr">
        <is>
          <t>Project Release Summary</t>
        </is>
      </c>
      <c r="C16" s="13" t="inlineStr">
        <is>
          <t>Project</t>
        </is>
      </c>
      <c r="D16" s="14" t="inlineStr">
        <is>
          <t>Releases, planned dates, status</t>
        </is>
      </c>
      <c r="E16" s="13" t="inlineStr">
        <is>
          <t>“Show upcoming releases.”</t>
        </is>
      </c>
    </row>
    <row r="17">
      <c r="D17" s="21" t="n"/>
    </row>
    <row r="18">
      <c r="D18" s="21" t="n"/>
    </row>
    <row r="19">
      <c r="D19" s="21" t="n"/>
    </row>
    <row r="20">
      <c r="D20" s="21" t="n"/>
    </row>
    <row r="21">
      <c r="D21" s="21" t="n"/>
    </row>
    <row r="22">
      <c r="D22" s="21" t="n"/>
    </row>
    <row r="23">
      <c r="D23" s="21" t="n"/>
    </row>
    <row r="24">
      <c r="D24" s="21" t="n"/>
    </row>
    <row r="25">
      <c r="D25" s="21" t="n"/>
    </row>
    <row r="26">
      <c r="D26" s="21" t="n"/>
    </row>
    <row r="27">
      <c r="D27" s="21" t="n"/>
    </row>
    <row r="28">
      <c r="D28" s="21" t="n"/>
    </row>
    <row r="29">
      <c r="D29" s="21" t="n"/>
    </row>
    <row r="30">
      <c r="D30" s="21" t="n"/>
    </row>
    <row r="31">
      <c r="D31" s="21" t="n"/>
    </row>
    <row r="32">
      <c r="D32" s="21" t="n"/>
    </row>
    <row r="33">
      <c r="D33" s="21" t="n"/>
    </row>
    <row r="34">
      <c r="D34" s="21" t="n"/>
    </row>
    <row r="35">
      <c r="D35" s="21" t="n"/>
    </row>
    <row r="36">
      <c r="D36" s="21" t="n"/>
    </row>
    <row r="37">
      <c r="D37" s="21" t="n"/>
    </row>
    <row r="38">
      <c r="D38" s="21" t="n"/>
    </row>
    <row r="39">
      <c r="D39" s="21" t="n"/>
    </row>
    <row r="40">
      <c r="D40" s="21" t="n"/>
    </row>
    <row r="41">
      <c r="D41" s="21" t="n"/>
    </row>
    <row r="42">
      <c r="D42" s="21" t="n"/>
    </row>
    <row r="43">
      <c r="D43" s="21" t="n"/>
    </row>
    <row r="44">
      <c r="D44" s="21" t="n"/>
    </row>
    <row r="45">
      <c r="D45" s="21" t="n"/>
    </row>
    <row r="46">
      <c r="D46" s="21" t="n"/>
    </row>
    <row r="47">
      <c r="D47" s="21" t="n"/>
    </row>
    <row r="48">
      <c r="D48" s="21" t="n"/>
    </row>
    <row r="49">
      <c r="D49" s="21" t="n"/>
    </row>
    <row r="50">
      <c r="D50" s="21" t="n"/>
    </row>
    <row r="51">
      <c r="D51" s="21" t="n"/>
    </row>
    <row r="52">
      <c r="D52" s="21" t="n"/>
    </row>
    <row r="53">
      <c r="D53" s="21" t="n"/>
    </row>
    <row r="54">
      <c r="D54" s="21" t="n"/>
    </row>
    <row r="55">
      <c r="D55" s="21" t="n"/>
    </row>
    <row r="56">
      <c r="D56" s="21" t="n"/>
    </row>
    <row r="57">
      <c r="D57" s="21" t="n"/>
    </row>
    <row r="58">
      <c r="D58" s="21" t="n"/>
    </row>
    <row r="59">
      <c r="D59" s="21" t="n"/>
    </row>
    <row r="60">
      <c r="D60" s="21" t="n"/>
    </row>
    <row r="61">
      <c r="D61" s="21" t="n"/>
    </row>
    <row r="62">
      <c r="D62" s="21" t="n"/>
    </row>
    <row r="63">
      <c r="D63" s="21" t="n"/>
    </row>
    <row r="64">
      <c r="D64" s="21" t="n"/>
    </row>
    <row r="65">
      <c r="D65" s="21" t="n"/>
    </row>
    <row r="66">
      <c r="D66" s="21" t="n"/>
    </row>
    <row r="67">
      <c r="D67" s="21" t="n"/>
    </row>
    <row r="68">
      <c r="D68" s="21" t="n"/>
    </row>
    <row r="69">
      <c r="D69" s="21" t="n"/>
    </row>
    <row r="70">
      <c r="D70" s="21" t="n"/>
    </row>
    <row r="71">
      <c r="D71" s="21" t="n"/>
    </row>
    <row r="72">
      <c r="D72" s="21" t="n"/>
    </row>
    <row r="73">
      <c r="D73" s="21" t="n"/>
    </row>
    <row r="74">
      <c r="D74" s="21" t="n"/>
    </row>
    <row r="75">
      <c r="D75" s="21" t="n"/>
    </row>
    <row r="76">
      <c r="D76" s="21" t="n"/>
    </row>
    <row r="77">
      <c r="D77" s="21" t="n"/>
    </row>
    <row r="78">
      <c r="D78" s="21" t="n"/>
    </row>
    <row r="79">
      <c r="D79" s="21" t="n"/>
    </row>
    <row r="80">
      <c r="D80" s="21" t="n"/>
    </row>
    <row r="81">
      <c r="D81" s="21" t="n"/>
    </row>
    <row r="82">
      <c r="D82" s="21" t="n"/>
    </row>
    <row r="83">
      <c r="D83" s="21" t="n"/>
    </row>
    <row r="84">
      <c r="D84" s="21" t="n"/>
    </row>
    <row r="85">
      <c r="D85" s="21" t="n"/>
    </row>
    <row r="86">
      <c r="D86" s="21" t="n"/>
    </row>
    <row r="87">
      <c r="D87" s="21" t="n"/>
    </row>
    <row r="88">
      <c r="D88" s="21" t="n"/>
    </row>
    <row r="89">
      <c r="D89" s="21" t="n"/>
    </row>
    <row r="90">
      <c r="D90" s="21" t="n"/>
    </row>
    <row r="91">
      <c r="D91" s="21" t="n"/>
    </row>
    <row r="92">
      <c r="D92" s="21" t="n"/>
    </row>
    <row r="93">
      <c r="D93" s="21" t="n"/>
    </row>
    <row r="94">
      <c r="D94" s="21" t="n"/>
    </row>
    <row r="95">
      <c r="D95" s="21" t="n"/>
    </row>
    <row r="96">
      <c r="D96" s="21" t="n"/>
    </row>
    <row r="97">
      <c r="D97" s="21" t="n"/>
    </row>
    <row r="98">
      <c r="D98" s="21" t="n"/>
    </row>
    <row r="99">
      <c r="D99" s="21" t="n"/>
    </row>
    <row r="100">
      <c r="D100" s="21" t="n"/>
    </row>
    <row r="101">
      <c r="D101" s="21" t="n"/>
    </row>
    <row r="102">
      <c r="D102" s="21" t="n"/>
    </row>
    <row r="103">
      <c r="D103" s="21" t="n"/>
    </row>
    <row r="104">
      <c r="D104" s="21" t="n"/>
    </row>
    <row r="105">
      <c r="D105" s="21" t="n"/>
    </row>
    <row r="106">
      <c r="D106" s="21" t="n"/>
    </row>
    <row r="107">
      <c r="D107" s="21" t="n"/>
    </row>
    <row r="108">
      <c r="D108" s="21" t="n"/>
    </row>
    <row r="109">
      <c r="D109" s="21" t="n"/>
    </row>
    <row r="110">
      <c r="D110" s="21" t="n"/>
    </row>
    <row r="111">
      <c r="D111" s="21" t="n"/>
    </row>
    <row r="112">
      <c r="D112" s="21" t="n"/>
    </row>
    <row r="113">
      <c r="D113" s="21" t="n"/>
    </row>
    <row r="114">
      <c r="D114" s="21" t="n"/>
    </row>
    <row r="115">
      <c r="D115" s="21" t="n"/>
    </row>
    <row r="116">
      <c r="D116" s="21" t="n"/>
    </row>
    <row r="117">
      <c r="D117" s="21" t="n"/>
    </row>
    <row r="118">
      <c r="D118" s="21" t="n"/>
    </row>
    <row r="119">
      <c r="D119" s="21" t="n"/>
    </row>
    <row r="120">
      <c r="D120" s="21" t="n"/>
    </row>
    <row r="121">
      <c r="D121" s="21" t="n"/>
    </row>
    <row r="122">
      <c r="D122" s="21" t="n"/>
    </row>
    <row r="123">
      <c r="D123" s="21" t="n"/>
    </row>
    <row r="124">
      <c r="D124" s="21" t="n"/>
    </row>
    <row r="125">
      <c r="D125" s="21" t="n"/>
    </row>
    <row r="126">
      <c r="D126" s="21" t="n"/>
    </row>
    <row r="127">
      <c r="D127" s="21" t="n"/>
    </row>
    <row r="128">
      <c r="D128" s="21" t="n"/>
    </row>
    <row r="129">
      <c r="D129" s="21" t="n"/>
    </row>
    <row r="130">
      <c r="D130" s="21" t="n"/>
    </row>
    <row r="131">
      <c r="D131" s="21" t="n"/>
    </row>
    <row r="132">
      <c r="D132" s="21" t="n"/>
    </row>
    <row r="133">
      <c r="D133" s="21" t="n"/>
    </row>
    <row r="134">
      <c r="D134" s="21" t="n"/>
    </row>
    <row r="135">
      <c r="D135" s="21" t="n"/>
    </row>
    <row r="136">
      <c r="D136" s="21" t="n"/>
    </row>
    <row r="137">
      <c r="D137" s="21" t="n"/>
    </row>
    <row r="138">
      <c r="D138" s="21" t="n"/>
    </row>
    <row r="139">
      <c r="D139" s="21" t="n"/>
    </row>
    <row r="140">
      <c r="D140" s="21" t="n"/>
    </row>
    <row r="141">
      <c r="D141" s="21" t="n"/>
    </row>
    <row r="142">
      <c r="D142" s="21" t="n"/>
    </row>
    <row r="143">
      <c r="D143" s="21" t="n"/>
    </row>
    <row r="144">
      <c r="D144" s="21" t="n"/>
    </row>
    <row r="145">
      <c r="D145" s="21" t="n"/>
    </row>
    <row r="146">
      <c r="D146" s="21" t="n"/>
    </row>
    <row r="147">
      <c r="D147" s="21" t="n"/>
    </row>
    <row r="148">
      <c r="D148" s="21" t="n"/>
    </row>
    <row r="149">
      <c r="D149" s="21" t="n"/>
    </row>
    <row r="150">
      <c r="D150" s="21" t="n"/>
    </row>
    <row r="151">
      <c r="D151" s="21" t="n"/>
    </row>
    <row r="152">
      <c r="D152" s="21" t="n"/>
    </row>
    <row r="153">
      <c r="D153" s="21" t="n"/>
    </row>
    <row r="154">
      <c r="D154" s="21" t="n"/>
    </row>
    <row r="155">
      <c r="D155" s="21" t="n"/>
    </row>
    <row r="156">
      <c r="D156" s="21" t="n"/>
    </row>
    <row r="157">
      <c r="D157" s="21" t="n"/>
    </row>
    <row r="158">
      <c r="D158" s="21" t="n"/>
    </row>
    <row r="159">
      <c r="D159" s="21" t="n"/>
    </row>
    <row r="160">
      <c r="D160" s="21" t="n"/>
    </row>
    <row r="161">
      <c r="D161" s="21" t="n"/>
    </row>
    <row r="162">
      <c r="D162" s="21" t="n"/>
    </row>
    <row r="163">
      <c r="D163" s="21" t="n"/>
    </row>
    <row r="164">
      <c r="D164" s="21" t="n"/>
    </row>
    <row r="165">
      <c r="D165" s="21" t="n"/>
    </row>
    <row r="166">
      <c r="D166" s="21" t="n"/>
    </row>
    <row r="167">
      <c r="D167" s="21" t="n"/>
    </row>
    <row r="168">
      <c r="D168" s="21" t="n"/>
    </row>
    <row r="169">
      <c r="D169" s="21" t="n"/>
    </row>
    <row r="170">
      <c r="D170" s="21" t="n"/>
    </row>
    <row r="171">
      <c r="D171" s="21" t="n"/>
    </row>
    <row r="172">
      <c r="D172" s="21" t="n"/>
    </row>
    <row r="173">
      <c r="D173" s="21" t="n"/>
    </row>
    <row r="174">
      <c r="D174" s="21" t="n"/>
    </row>
    <row r="175">
      <c r="D175" s="21" t="n"/>
    </row>
    <row r="176">
      <c r="D176" s="21" t="n"/>
    </row>
    <row r="177">
      <c r="D177" s="21" t="n"/>
    </row>
    <row r="178">
      <c r="D178" s="21" t="n"/>
    </row>
    <row r="179">
      <c r="D179" s="21" t="n"/>
    </row>
    <row r="180">
      <c r="D180" s="21" t="n"/>
    </row>
    <row r="181">
      <c r="D181" s="21" t="n"/>
    </row>
    <row r="182">
      <c r="D182" s="21" t="n"/>
    </row>
    <row r="183">
      <c r="D183" s="21" t="n"/>
    </row>
    <row r="184">
      <c r="D184" s="21" t="n"/>
    </row>
    <row r="185">
      <c r="D185" s="21" t="n"/>
    </row>
    <row r="186">
      <c r="D186" s="21" t="n"/>
    </row>
    <row r="187">
      <c r="D187" s="21" t="n"/>
    </row>
    <row r="188">
      <c r="D188" s="21" t="n"/>
    </row>
    <row r="189">
      <c r="D189" s="21" t="n"/>
    </row>
    <row r="190">
      <c r="D190" s="21" t="n"/>
    </row>
    <row r="191">
      <c r="D191" s="21" t="n"/>
    </row>
    <row r="192">
      <c r="D192" s="21" t="n"/>
    </row>
    <row r="193">
      <c r="D193" s="21" t="n"/>
    </row>
    <row r="194">
      <c r="D194" s="21" t="n"/>
    </row>
    <row r="195">
      <c r="D195" s="21" t="n"/>
    </row>
    <row r="196">
      <c r="D196" s="21" t="n"/>
    </row>
    <row r="197">
      <c r="D197" s="21" t="n"/>
    </row>
    <row r="198">
      <c r="D198" s="21" t="n"/>
    </row>
    <row r="199">
      <c r="D199" s="21" t="n"/>
    </row>
    <row r="200">
      <c r="D200" s="21" t="n"/>
    </row>
    <row r="201">
      <c r="D201" s="21" t="n"/>
    </row>
    <row r="202">
      <c r="D202" s="21" t="n"/>
    </row>
    <row r="203">
      <c r="D203" s="21" t="n"/>
    </row>
    <row r="204">
      <c r="D204" s="21" t="n"/>
    </row>
    <row r="205">
      <c r="D205" s="21" t="n"/>
    </row>
    <row r="206">
      <c r="D206" s="21" t="n"/>
    </row>
    <row r="207">
      <c r="D207" s="21" t="n"/>
    </row>
    <row r="208">
      <c r="D208" s="21" t="n"/>
    </row>
    <row r="209">
      <c r="D209" s="21" t="n"/>
    </row>
    <row r="210">
      <c r="D210" s="21" t="n"/>
    </row>
    <row r="211">
      <c r="D211" s="21" t="n"/>
    </row>
    <row r="212">
      <c r="D212" s="21" t="n"/>
    </row>
    <row r="213">
      <c r="D213" s="21" t="n"/>
    </row>
    <row r="214">
      <c r="D214" s="21" t="n"/>
    </row>
    <row r="215">
      <c r="D215" s="21" t="n"/>
    </row>
    <row r="216">
      <c r="D216" s="21" t="n"/>
    </row>
    <row r="217">
      <c r="D217" s="21" t="n"/>
    </row>
    <row r="218">
      <c r="D218" s="21" t="n"/>
    </row>
    <row r="219">
      <c r="D219" s="21" t="n"/>
    </row>
    <row r="220">
      <c r="D220" s="21" t="n"/>
    </row>
    <row r="221">
      <c r="D221" s="21" t="n"/>
    </row>
    <row r="222">
      <c r="D222" s="21" t="n"/>
    </row>
    <row r="223">
      <c r="D223" s="21" t="n"/>
    </row>
    <row r="224">
      <c r="D224" s="21" t="n"/>
    </row>
    <row r="225">
      <c r="D225" s="21" t="n"/>
    </row>
    <row r="226">
      <c r="D226" s="21" t="n"/>
    </row>
    <row r="227">
      <c r="D227" s="21" t="n"/>
    </row>
    <row r="228">
      <c r="D228" s="21" t="n"/>
    </row>
    <row r="229">
      <c r="D229" s="21" t="n"/>
    </row>
    <row r="230">
      <c r="D230" s="21" t="n"/>
    </row>
    <row r="231">
      <c r="D231" s="21" t="n"/>
    </row>
    <row r="232">
      <c r="D232" s="21" t="n"/>
    </row>
    <row r="233">
      <c r="D233" s="21" t="n"/>
    </row>
    <row r="234">
      <c r="D234" s="21" t="n"/>
    </row>
    <row r="235">
      <c r="D235" s="21" t="n"/>
    </row>
    <row r="236">
      <c r="D236" s="21" t="n"/>
    </row>
    <row r="237">
      <c r="D237" s="21" t="n"/>
    </row>
    <row r="238">
      <c r="D238" s="21" t="n"/>
    </row>
    <row r="239">
      <c r="D239" s="21" t="n"/>
    </row>
    <row r="240">
      <c r="D240" s="21" t="n"/>
    </row>
    <row r="241">
      <c r="D241" s="21" t="n"/>
    </row>
    <row r="242">
      <c r="D242" s="21" t="n"/>
    </row>
    <row r="243">
      <c r="D243" s="21" t="n"/>
    </row>
    <row r="244">
      <c r="D244" s="21" t="n"/>
    </row>
    <row r="245">
      <c r="D245" s="21" t="n"/>
    </row>
    <row r="246">
      <c r="D246" s="21" t="n"/>
    </row>
    <row r="247">
      <c r="D247" s="21" t="n"/>
    </row>
    <row r="248">
      <c r="D248" s="21" t="n"/>
    </row>
    <row r="249">
      <c r="D249" s="21" t="n"/>
    </row>
    <row r="250">
      <c r="D250" s="21" t="n"/>
    </row>
    <row r="251">
      <c r="D251" s="21" t="n"/>
    </row>
    <row r="252">
      <c r="D252" s="21" t="n"/>
    </row>
    <row r="253">
      <c r="D253" s="21" t="n"/>
    </row>
    <row r="254">
      <c r="D254" s="21" t="n"/>
    </row>
    <row r="255">
      <c r="D255" s="21" t="n"/>
    </row>
    <row r="256">
      <c r="D256" s="21" t="n"/>
    </row>
    <row r="257">
      <c r="D257" s="21" t="n"/>
    </row>
    <row r="258">
      <c r="D258" s="21" t="n"/>
    </row>
    <row r="259">
      <c r="D259" s="21" t="n"/>
    </row>
    <row r="260">
      <c r="D260" s="21" t="n"/>
    </row>
    <row r="261">
      <c r="D261" s="21" t="n"/>
    </row>
    <row r="262">
      <c r="D262" s="21" t="n"/>
    </row>
    <row r="263">
      <c r="D263" s="21" t="n"/>
    </row>
    <row r="264">
      <c r="D264" s="21" t="n"/>
    </row>
    <row r="265">
      <c r="D265" s="21" t="n"/>
    </row>
    <row r="266">
      <c r="D266" s="21" t="n"/>
    </row>
    <row r="267">
      <c r="D267" s="21" t="n"/>
    </row>
    <row r="268">
      <c r="D268" s="21" t="n"/>
    </row>
    <row r="269">
      <c r="D269" s="21" t="n"/>
    </row>
    <row r="270">
      <c r="D270" s="21" t="n"/>
    </row>
    <row r="271">
      <c r="D271" s="21" t="n"/>
    </row>
    <row r="272">
      <c r="D272" s="21" t="n"/>
    </row>
    <row r="273">
      <c r="D273" s="21" t="n"/>
    </row>
    <row r="274">
      <c r="D274" s="21" t="n"/>
    </row>
    <row r="275">
      <c r="D275" s="21" t="n"/>
    </row>
    <row r="276">
      <c r="D276" s="21" t="n"/>
    </row>
    <row r="277">
      <c r="D277" s="21" t="n"/>
    </row>
    <row r="278">
      <c r="D278" s="21" t="n"/>
    </row>
    <row r="279">
      <c r="D279" s="21" t="n"/>
    </row>
    <row r="280">
      <c r="D280" s="21" t="n"/>
    </row>
    <row r="281">
      <c r="D281" s="21" t="n"/>
    </row>
    <row r="282">
      <c r="D282" s="21" t="n"/>
    </row>
    <row r="283">
      <c r="D283" s="21" t="n"/>
    </row>
    <row r="284">
      <c r="D284" s="21" t="n"/>
    </row>
    <row r="285">
      <c r="D285" s="21" t="n"/>
    </row>
    <row r="286">
      <c r="D286" s="21" t="n"/>
    </row>
    <row r="287">
      <c r="D287" s="21" t="n"/>
    </row>
    <row r="288">
      <c r="D288" s="21" t="n"/>
    </row>
    <row r="289">
      <c r="D289" s="21" t="n"/>
    </row>
    <row r="290">
      <c r="D290" s="21" t="n"/>
    </row>
    <row r="291">
      <c r="D291" s="21" t="n"/>
    </row>
    <row r="292">
      <c r="D292" s="21" t="n"/>
    </row>
    <row r="293">
      <c r="D293" s="21" t="n"/>
    </row>
    <row r="294">
      <c r="D294" s="21" t="n"/>
    </row>
    <row r="295">
      <c r="D295" s="21" t="n"/>
    </row>
    <row r="296">
      <c r="D296" s="21" t="n"/>
    </row>
    <row r="297">
      <c r="D297" s="21" t="n"/>
    </row>
    <row r="298">
      <c r="D298" s="21" t="n"/>
    </row>
    <row r="299">
      <c r="D299" s="21" t="n"/>
    </row>
    <row r="300">
      <c r="D300" s="21" t="n"/>
    </row>
    <row r="301">
      <c r="D301" s="21" t="n"/>
    </row>
    <row r="302">
      <c r="D302" s="21" t="n"/>
    </row>
    <row r="303">
      <c r="D303" s="21" t="n"/>
    </row>
    <row r="304">
      <c r="D304" s="21" t="n"/>
    </row>
    <row r="305">
      <c r="D305" s="21" t="n"/>
    </row>
    <row r="306">
      <c r="D306" s="21" t="n"/>
    </row>
    <row r="307">
      <c r="D307" s="21" t="n"/>
    </row>
    <row r="308">
      <c r="D308" s="21" t="n"/>
    </row>
    <row r="309">
      <c r="D309" s="21" t="n"/>
    </row>
    <row r="310">
      <c r="D310" s="21" t="n"/>
    </row>
    <row r="311">
      <c r="D311" s="21" t="n"/>
    </row>
    <row r="312">
      <c r="D312" s="21" t="n"/>
    </row>
    <row r="313">
      <c r="D313" s="21" t="n"/>
    </row>
    <row r="314">
      <c r="D314" s="21" t="n"/>
    </row>
    <row r="315">
      <c r="D315" s="21" t="n"/>
    </row>
    <row r="316">
      <c r="D316" s="21" t="n"/>
    </row>
    <row r="317">
      <c r="D317" s="21" t="n"/>
    </row>
    <row r="318">
      <c r="D318" s="21" t="n"/>
    </row>
    <row r="319">
      <c r="D319" s="21" t="n"/>
    </row>
    <row r="320">
      <c r="D320" s="21" t="n"/>
    </row>
    <row r="321">
      <c r="D321" s="21" t="n"/>
    </row>
    <row r="322">
      <c r="D322" s="21" t="n"/>
    </row>
    <row r="323">
      <c r="D323" s="21" t="n"/>
    </row>
    <row r="324">
      <c r="D324" s="21" t="n"/>
    </row>
    <row r="325">
      <c r="D325" s="21" t="n"/>
    </row>
    <row r="326">
      <c r="D326" s="21" t="n"/>
    </row>
    <row r="327">
      <c r="D327" s="21" t="n"/>
    </row>
    <row r="328">
      <c r="D328" s="21" t="n"/>
    </row>
    <row r="329">
      <c r="D329" s="21" t="n"/>
    </row>
    <row r="330">
      <c r="D330" s="21" t="n"/>
    </row>
    <row r="331">
      <c r="D331" s="21" t="n"/>
    </row>
    <row r="332">
      <c r="D332" s="21" t="n"/>
    </row>
    <row r="333">
      <c r="D333" s="21" t="n"/>
    </row>
    <row r="334">
      <c r="D334" s="21" t="n"/>
    </row>
    <row r="335">
      <c r="D335" s="21" t="n"/>
    </row>
    <row r="336">
      <c r="D336" s="21" t="n"/>
    </row>
    <row r="337">
      <c r="D337" s="21" t="n"/>
    </row>
    <row r="338">
      <c r="D338" s="21" t="n"/>
    </row>
    <row r="339">
      <c r="D339" s="21" t="n"/>
    </row>
    <row r="340">
      <c r="D340" s="21" t="n"/>
    </row>
    <row r="341">
      <c r="D341" s="21" t="n"/>
    </row>
    <row r="342">
      <c r="D342" s="21" t="n"/>
    </row>
    <row r="343">
      <c r="D343" s="21" t="n"/>
    </row>
    <row r="344">
      <c r="D344" s="21" t="n"/>
    </row>
    <row r="345">
      <c r="D345" s="21" t="n"/>
    </row>
    <row r="346">
      <c r="D346" s="21" t="n"/>
    </row>
    <row r="347">
      <c r="D347" s="21" t="n"/>
    </row>
    <row r="348">
      <c r="D348" s="21" t="n"/>
    </row>
    <row r="349">
      <c r="D349" s="21" t="n"/>
    </row>
    <row r="350">
      <c r="D350" s="21" t="n"/>
    </row>
    <row r="351">
      <c r="D351" s="21" t="n"/>
    </row>
    <row r="352">
      <c r="D352" s="21" t="n"/>
    </row>
    <row r="353">
      <c r="D353" s="21" t="n"/>
    </row>
    <row r="354">
      <c r="D354" s="21" t="n"/>
    </row>
    <row r="355">
      <c r="D355" s="21" t="n"/>
    </row>
    <row r="356">
      <c r="D356" s="21" t="n"/>
    </row>
    <row r="357">
      <c r="D357" s="21" t="n"/>
    </row>
    <row r="358">
      <c r="D358" s="21" t="n"/>
    </row>
    <row r="359">
      <c r="D359" s="21" t="n"/>
    </row>
    <row r="360">
      <c r="D360" s="21" t="n"/>
    </row>
    <row r="361">
      <c r="D361" s="21" t="n"/>
    </row>
    <row r="362">
      <c r="D362" s="21" t="n"/>
    </row>
    <row r="363">
      <c r="D363" s="21" t="n"/>
    </row>
    <row r="364">
      <c r="D364" s="21" t="n"/>
    </row>
    <row r="365">
      <c r="D365" s="21" t="n"/>
    </row>
    <row r="366">
      <c r="D366" s="21" t="n"/>
    </row>
    <row r="367">
      <c r="D367" s="21" t="n"/>
    </row>
    <row r="368">
      <c r="D368" s="21" t="n"/>
    </row>
    <row r="369">
      <c r="D369" s="21" t="n"/>
    </row>
    <row r="370">
      <c r="D370" s="21" t="n"/>
    </row>
    <row r="371">
      <c r="D371" s="21" t="n"/>
    </row>
    <row r="372">
      <c r="D372" s="21" t="n"/>
    </row>
    <row r="373">
      <c r="D373" s="21" t="n"/>
    </row>
    <row r="374">
      <c r="D374" s="21" t="n"/>
    </row>
    <row r="375">
      <c r="D375" s="21" t="n"/>
    </row>
    <row r="376">
      <c r="D376" s="21" t="n"/>
    </row>
    <row r="377">
      <c r="D377" s="21" t="n"/>
    </row>
    <row r="378">
      <c r="D378" s="21" t="n"/>
    </row>
    <row r="379">
      <c r="D379" s="21" t="n"/>
    </row>
    <row r="380">
      <c r="D380" s="21" t="n"/>
    </row>
    <row r="381">
      <c r="D381" s="21" t="n"/>
    </row>
    <row r="382">
      <c r="D382" s="21" t="n"/>
    </row>
    <row r="383">
      <c r="D383" s="21" t="n"/>
    </row>
    <row r="384">
      <c r="D384" s="21" t="n"/>
    </row>
    <row r="385">
      <c r="D385" s="21" t="n"/>
    </row>
    <row r="386">
      <c r="D386" s="21" t="n"/>
    </row>
    <row r="387">
      <c r="D387" s="21" t="n"/>
    </row>
    <row r="388">
      <c r="D388" s="21" t="n"/>
    </row>
    <row r="389">
      <c r="D389" s="21" t="n"/>
    </row>
    <row r="390">
      <c r="D390" s="21" t="n"/>
    </row>
    <row r="391">
      <c r="D391" s="21" t="n"/>
    </row>
    <row r="392">
      <c r="D392" s="21" t="n"/>
    </row>
    <row r="393">
      <c r="D393" s="21" t="n"/>
    </row>
    <row r="394">
      <c r="D394" s="21" t="n"/>
    </row>
    <row r="395">
      <c r="D395" s="21" t="n"/>
    </row>
    <row r="396">
      <c r="D396" s="21" t="n"/>
    </row>
    <row r="397">
      <c r="D397" s="21" t="n"/>
    </row>
    <row r="398">
      <c r="D398" s="21" t="n"/>
    </row>
    <row r="399">
      <c r="D399" s="21" t="n"/>
    </row>
    <row r="400">
      <c r="D400" s="21" t="n"/>
    </row>
    <row r="401">
      <c r="D401" s="21" t="n"/>
    </row>
    <row r="402">
      <c r="D402" s="21" t="n"/>
    </row>
    <row r="403">
      <c r="D403" s="21" t="n"/>
    </row>
    <row r="404">
      <c r="D404" s="21" t="n"/>
    </row>
    <row r="405">
      <c r="D405" s="21" t="n"/>
    </row>
    <row r="406">
      <c r="D406" s="21" t="n"/>
    </row>
    <row r="407">
      <c r="D407" s="21" t="n"/>
    </row>
    <row r="408">
      <c r="D408" s="21" t="n"/>
    </row>
    <row r="409">
      <c r="D409" s="21" t="n"/>
    </row>
    <row r="410">
      <c r="D410" s="21" t="n"/>
    </row>
    <row r="411">
      <c r="D411" s="21" t="n"/>
    </row>
    <row r="412">
      <c r="D412" s="21" t="n"/>
    </row>
    <row r="413">
      <c r="D413" s="21" t="n"/>
    </row>
    <row r="414">
      <c r="D414" s="21" t="n"/>
    </row>
    <row r="415">
      <c r="D415" s="21" t="n"/>
    </row>
    <row r="416">
      <c r="D416" s="21" t="n"/>
    </row>
    <row r="417">
      <c r="D417" s="21" t="n"/>
    </row>
    <row r="418">
      <c r="D418" s="21" t="n"/>
    </row>
    <row r="419">
      <c r="D419" s="21" t="n"/>
    </row>
    <row r="420">
      <c r="D420" s="21" t="n"/>
    </row>
    <row r="421">
      <c r="D421" s="21" t="n"/>
    </row>
    <row r="422">
      <c r="D422" s="21" t="n"/>
    </row>
    <row r="423">
      <c r="D423" s="21" t="n"/>
    </row>
    <row r="424">
      <c r="D424" s="21" t="n"/>
    </row>
    <row r="425">
      <c r="D425" s="21" t="n"/>
    </row>
    <row r="426">
      <c r="D426" s="21" t="n"/>
    </row>
    <row r="427">
      <c r="D427" s="21" t="n"/>
    </row>
    <row r="428">
      <c r="D428" s="21" t="n"/>
    </row>
    <row r="429">
      <c r="D429" s="21" t="n"/>
    </row>
    <row r="430">
      <c r="D430" s="21" t="n"/>
    </row>
    <row r="431">
      <c r="D431" s="21" t="n"/>
    </row>
    <row r="432">
      <c r="D432" s="21" t="n"/>
    </row>
    <row r="433">
      <c r="D433" s="21" t="n"/>
    </row>
    <row r="434">
      <c r="D434" s="21" t="n"/>
    </row>
    <row r="435">
      <c r="D435" s="21" t="n"/>
    </row>
    <row r="436">
      <c r="D436" s="21" t="n"/>
    </row>
    <row r="437">
      <c r="D437" s="21" t="n"/>
    </row>
    <row r="438">
      <c r="D438" s="21" t="n"/>
    </row>
    <row r="439">
      <c r="D439" s="21" t="n"/>
    </row>
    <row r="440">
      <c r="D440" s="21" t="n"/>
    </row>
    <row r="441">
      <c r="D441" s="21" t="n"/>
    </row>
    <row r="442">
      <c r="D442" s="21" t="n"/>
    </row>
    <row r="443">
      <c r="D443" s="21" t="n"/>
    </row>
    <row r="444">
      <c r="D444" s="21" t="n"/>
    </row>
    <row r="445">
      <c r="D445" s="21" t="n"/>
    </row>
    <row r="446">
      <c r="D446" s="21" t="n"/>
    </row>
    <row r="447">
      <c r="D447" s="21" t="n"/>
    </row>
    <row r="448">
      <c r="D448" s="21" t="n"/>
    </row>
    <row r="449">
      <c r="D449" s="21" t="n"/>
    </row>
    <row r="450">
      <c r="D450" s="21" t="n"/>
    </row>
    <row r="451">
      <c r="D451" s="21" t="n"/>
    </row>
    <row r="452">
      <c r="D452" s="21" t="n"/>
    </row>
    <row r="453">
      <c r="D453" s="21" t="n"/>
    </row>
    <row r="454">
      <c r="D454" s="21" t="n"/>
    </row>
    <row r="455">
      <c r="D455" s="21" t="n"/>
    </row>
    <row r="456">
      <c r="D456" s="21" t="n"/>
    </row>
    <row r="457">
      <c r="D457" s="21" t="n"/>
    </row>
    <row r="458">
      <c r="D458" s="21" t="n"/>
    </row>
    <row r="459">
      <c r="D459" s="21" t="n"/>
    </row>
    <row r="460">
      <c r="D460" s="21" t="n"/>
    </row>
    <row r="461">
      <c r="D461" s="21" t="n"/>
    </row>
    <row r="462">
      <c r="D462" s="21" t="n"/>
    </row>
    <row r="463">
      <c r="D463" s="21" t="n"/>
    </row>
    <row r="464">
      <c r="D464" s="21" t="n"/>
    </row>
    <row r="465">
      <c r="D465" s="21" t="n"/>
    </row>
    <row r="466">
      <c r="D466" s="21" t="n"/>
    </row>
    <row r="467">
      <c r="D467" s="21" t="n"/>
    </row>
    <row r="468">
      <c r="D468" s="21" t="n"/>
    </row>
    <row r="469">
      <c r="D469" s="21" t="n"/>
    </row>
    <row r="470">
      <c r="D470" s="21" t="n"/>
    </row>
    <row r="471">
      <c r="D471" s="21" t="n"/>
    </row>
    <row r="472">
      <c r="D472" s="21" t="n"/>
    </row>
    <row r="473">
      <c r="D473" s="21" t="n"/>
    </row>
    <row r="474">
      <c r="D474" s="21" t="n"/>
    </row>
    <row r="475">
      <c r="D475" s="21" t="n"/>
    </row>
    <row r="476">
      <c r="D476" s="21" t="n"/>
    </row>
    <row r="477">
      <c r="D477" s="21" t="n"/>
    </row>
    <row r="478">
      <c r="D478" s="21" t="n"/>
    </row>
    <row r="479">
      <c r="D479" s="21" t="n"/>
    </row>
    <row r="480">
      <c r="D480" s="21" t="n"/>
    </row>
    <row r="481">
      <c r="D481" s="21" t="n"/>
    </row>
    <row r="482">
      <c r="D482" s="21" t="n"/>
    </row>
    <row r="483">
      <c r="D483" s="21" t="n"/>
    </row>
    <row r="484">
      <c r="D484" s="21" t="n"/>
    </row>
    <row r="485">
      <c r="D485" s="21" t="n"/>
    </row>
    <row r="486">
      <c r="D486" s="21" t="n"/>
    </row>
    <row r="487">
      <c r="D487" s="21" t="n"/>
    </row>
    <row r="488">
      <c r="D488" s="21" t="n"/>
    </row>
    <row r="489">
      <c r="D489" s="21" t="n"/>
    </row>
    <row r="490">
      <c r="D490" s="21" t="n"/>
    </row>
    <row r="491">
      <c r="D491" s="21" t="n"/>
    </row>
    <row r="492">
      <c r="D492" s="21" t="n"/>
    </row>
    <row r="493">
      <c r="D493" s="21" t="n"/>
    </row>
    <row r="494">
      <c r="D494" s="21" t="n"/>
    </row>
    <row r="495">
      <c r="D495" s="21" t="n"/>
    </row>
    <row r="496">
      <c r="D496" s="21" t="n"/>
    </row>
    <row r="497">
      <c r="D497" s="21" t="n"/>
    </row>
    <row r="498">
      <c r="D498" s="21" t="n"/>
    </row>
    <row r="499">
      <c r="D499" s="21" t="n"/>
    </row>
    <row r="500">
      <c r="D500" s="21" t="n"/>
    </row>
    <row r="501">
      <c r="D501" s="21" t="n"/>
    </row>
    <row r="502">
      <c r="D502" s="21" t="n"/>
    </row>
    <row r="503">
      <c r="D503" s="21" t="n"/>
    </row>
    <row r="504">
      <c r="D504" s="21" t="n"/>
    </row>
    <row r="505">
      <c r="D505" s="21" t="n"/>
    </row>
    <row r="506">
      <c r="D506" s="21" t="n"/>
    </row>
    <row r="507">
      <c r="D507" s="21" t="n"/>
    </row>
    <row r="508">
      <c r="D508" s="21" t="n"/>
    </row>
    <row r="509">
      <c r="D509" s="21" t="n"/>
    </row>
    <row r="510">
      <c r="D510" s="21" t="n"/>
    </row>
    <row r="511">
      <c r="D511" s="21" t="n"/>
    </row>
    <row r="512">
      <c r="D512" s="21" t="n"/>
    </row>
    <row r="513">
      <c r="D513" s="21" t="n"/>
    </row>
    <row r="514">
      <c r="D514" s="21" t="n"/>
    </row>
    <row r="515">
      <c r="D515" s="21" t="n"/>
    </row>
    <row r="516">
      <c r="D516" s="21" t="n"/>
    </row>
    <row r="517">
      <c r="D517" s="21" t="n"/>
    </row>
    <row r="518">
      <c r="D518" s="21" t="n"/>
    </row>
    <row r="519">
      <c r="D519" s="21" t="n"/>
    </row>
    <row r="520">
      <c r="D520" s="21" t="n"/>
    </row>
    <row r="521">
      <c r="D521" s="21" t="n"/>
    </row>
    <row r="522">
      <c r="D522" s="21" t="n"/>
    </row>
    <row r="523">
      <c r="D523" s="21" t="n"/>
    </row>
    <row r="524">
      <c r="D524" s="21" t="n"/>
    </row>
    <row r="525">
      <c r="D525" s="21" t="n"/>
    </row>
    <row r="526">
      <c r="D526" s="21" t="n"/>
    </row>
    <row r="527">
      <c r="D527" s="21" t="n"/>
    </row>
    <row r="528">
      <c r="D528" s="21" t="n"/>
    </row>
    <row r="529">
      <c r="D529" s="21" t="n"/>
    </row>
    <row r="530">
      <c r="D530" s="21" t="n"/>
    </row>
    <row r="531">
      <c r="D531" s="21" t="n"/>
    </row>
    <row r="532">
      <c r="D532" s="21" t="n"/>
    </row>
    <row r="533">
      <c r="D533" s="21" t="n"/>
    </row>
    <row r="534">
      <c r="D534" s="21" t="n"/>
    </row>
    <row r="535">
      <c r="D535" s="21" t="n"/>
    </row>
    <row r="536">
      <c r="D536" s="21" t="n"/>
    </row>
    <row r="537">
      <c r="D537" s="21" t="n"/>
    </row>
    <row r="538">
      <c r="D538" s="21" t="n"/>
    </row>
    <row r="539">
      <c r="D539" s="21" t="n"/>
    </row>
    <row r="540">
      <c r="D540" s="21" t="n"/>
    </row>
    <row r="541">
      <c r="D541" s="21" t="n"/>
    </row>
    <row r="542">
      <c r="D542" s="21" t="n"/>
    </row>
    <row r="543">
      <c r="D543" s="21" t="n"/>
    </row>
    <row r="544">
      <c r="D544" s="21" t="n"/>
    </row>
    <row r="545">
      <c r="D545" s="21" t="n"/>
    </row>
    <row r="546">
      <c r="D546" s="21" t="n"/>
    </row>
    <row r="547">
      <c r="D547" s="21" t="n"/>
    </row>
    <row r="548">
      <c r="D548" s="21" t="n"/>
    </row>
    <row r="549">
      <c r="D549" s="21" t="n"/>
    </row>
    <row r="550">
      <c r="D550" s="21" t="n"/>
    </row>
    <row r="551">
      <c r="D551" s="21" t="n"/>
    </row>
    <row r="552">
      <c r="D552" s="21" t="n"/>
    </row>
    <row r="553">
      <c r="D553" s="21" t="n"/>
    </row>
    <row r="554">
      <c r="D554" s="21" t="n"/>
    </row>
    <row r="555">
      <c r="D555" s="21" t="n"/>
    </row>
    <row r="556">
      <c r="D556" s="21" t="n"/>
    </row>
    <row r="557">
      <c r="D557" s="21" t="n"/>
    </row>
    <row r="558">
      <c r="D558" s="21" t="n"/>
    </row>
    <row r="559">
      <c r="D559" s="21" t="n"/>
    </row>
    <row r="560">
      <c r="D560" s="21" t="n"/>
    </row>
    <row r="561">
      <c r="D561" s="21" t="n"/>
    </row>
    <row r="562">
      <c r="D562" s="21" t="n"/>
    </row>
    <row r="563">
      <c r="D563" s="21" t="n"/>
    </row>
    <row r="564">
      <c r="D564" s="21" t="n"/>
    </row>
    <row r="565">
      <c r="D565" s="21" t="n"/>
    </row>
    <row r="566">
      <c r="D566" s="21" t="n"/>
    </row>
    <row r="567">
      <c r="D567" s="21" t="n"/>
    </row>
    <row r="568">
      <c r="D568" s="21" t="n"/>
    </row>
    <row r="569">
      <c r="D569" s="21" t="n"/>
    </row>
    <row r="570">
      <c r="D570" s="21" t="n"/>
    </row>
    <row r="571">
      <c r="D571" s="21" t="n"/>
    </row>
    <row r="572">
      <c r="D572" s="21" t="n"/>
    </row>
    <row r="573">
      <c r="D573" s="21" t="n"/>
    </row>
    <row r="574">
      <c r="D574" s="21" t="n"/>
    </row>
    <row r="575">
      <c r="D575" s="21" t="n"/>
    </row>
    <row r="576">
      <c r="D576" s="21" t="n"/>
    </row>
    <row r="577">
      <c r="D577" s="21" t="n"/>
    </row>
    <row r="578">
      <c r="D578" s="21" t="n"/>
    </row>
    <row r="579">
      <c r="D579" s="21" t="n"/>
    </row>
    <row r="580">
      <c r="D580" s="21" t="n"/>
    </row>
    <row r="581">
      <c r="D581" s="21" t="n"/>
    </row>
    <row r="582">
      <c r="D582" s="21" t="n"/>
    </row>
    <row r="583">
      <c r="D583" s="21" t="n"/>
    </row>
    <row r="584">
      <c r="D584" s="21" t="n"/>
    </row>
    <row r="585">
      <c r="D585" s="21" t="n"/>
    </row>
    <row r="586">
      <c r="D586" s="21" t="n"/>
    </row>
    <row r="587">
      <c r="D587" s="21" t="n"/>
    </row>
    <row r="588">
      <c r="D588" s="21" t="n"/>
    </row>
    <row r="589">
      <c r="D589" s="21" t="n"/>
    </row>
    <row r="590">
      <c r="D590" s="21" t="n"/>
    </row>
    <row r="591">
      <c r="D591" s="21" t="n"/>
    </row>
    <row r="592">
      <c r="D592" s="21" t="n"/>
    </row>
    <row r="593">
      <c r="D593" s="21" t="n"/>
    </row>
    <row r="594">
      <c r="D594" s="21" t="n"/>
    </row>
    <row r="595">
      <c r="D595" s="21" t="n"/>
    </row>
    <row r="596">
      <c r="D596" s="21" t="n"/>
    </row>
    <row r="597">
      <c r="D597" s="21" t="n"/>
    </row>
    <row r="598">
      <c r="D598" s="21" t="n"/>
    </row>
    <row r="599">
      <c r="D599" s="21" t="n"/>
    </row>
    <row r="600">
      <c r="D600" s="21" t="n"/>
    </row>
    <row r="601">
      <c r="D601" s="21" t="n"/>
    </row>
    <row r="602">
      <c r="D602" s="21" t="n"/>
    </row>
    <row r="603">
      <c r="D603" s="21" t="n"/>
    </row>
    <row r="604">
      <c r="D604" s="21" t="n"/>
    </row>
    <row r="605">
      <c r="D605" s="21" t="n"/>
    </row>
    <row r="606">
      <c r="D606" s="21" t="n"/>
    </row>
    <row r="607">
      <c r="D607" s="21" t="n"/>
    </row>
    <row r="608">
      <c r="D608" s="21" t="n"/>
    </row>
    <row r="609">
      <c r="D609" s="21" t="n"/>
    </row>
    <row r="610">
      <c r="D610" s="21" t="n"/>
    </row>
    <row r="611">
      <c r="D611" s="21" t="n"/>
    </row>
    <row r="612">
      <c r="D612" s="21" t="n"/>
    </row>
    <row r="613">
      <c r="D613" s="21" t="n"/>
    </row>
    <row r="614">
      <c r="D614" s="21" t="n"/>
    </row>
    <row r="615">
      <c r="D615" s="21" t="n"/>
    </row>
    <row r="616">
      <c r="D616" s="21" t="n"/>
    </row>
    <row r="617">
      <c r="D617" s="21" t="n"/>
    </row>
    <row r="618">
      <c r="D618" s="21" t="n"/>
    </row>
    <row r="619">
      <c r="D619" s="21" t="n"/>
    </row>
    <row r="620">
      <c r="D620" s="21" t="n"/>
    </row>
    <row r="621">
      <c r="D621" s="21" t="n"/>
    </row>
    <row r="622">
      <c r="D622" s="21" t="n"/>
    </row>
    <row r="623">
      <c r="D623" s="21" t="n"/>
    </row>
    <row r="624">
      <c r="D624" s="21" t="n"/>
    </row>
    <row r="625">
      <c r="D625" s="21" t="n"/>
    </row>
    <row r="626">
      <c r="D626" s="21" t="n"/>
    </row>
    <row r="627">
      <c r="D627" s="21" t="n"/>
    </row>
    <row r="628">
      <c r="D628" s="21" t="n"/>
    </row>
    <row r="629">
      <c r="D629" s="21" t="n"/>
    </row>
    <row r="630">
      <c r="D630" s="21" t="n"/>
    </row>
    <row r="631">
      <c r="D631" s="21" t="n"/>
    </row>
    <row r="632">
      <c r="D632" s="21" t="n"/>
    </row>
    <row r="633">
      <c r="D633" s="21" t="n"/>
    </row>
    <row r="634">
      <c r="D634" s="21" t="n"/>
    </row>
    <row r="635">
      <c r="D635" s="21" t="n"/>
    </row>
    <row r="636">
      <c r="D636" s="21" t="n"/>
    </row>
    <row r="637">
      <c r="D637" s="21" t="n"/>
    </row>
    <row r="638">
      <c r="D638" s="21" t="n"/>
    </row>
    <row r="639">
      <c r="D639" s="21" t="n"/>
    </row>
    <row r="640">
      <c r="D640" s="21" t="n"/>
    </row>
    <row r="641">
      <c r="D641" s="21" t="n"/>
    </row>
    <row r="642">
      <c r="D642" s="21" t="n"/>
    </row>
    <row r="643">
      <c r="D643" s="21" t="n"/>
    </row>
    <row r="644">
      <c r="D644" s="21" t="n"/>
    </row>
    <row r="645">
      <c r="D645" s="21" t="n"/>
    </row>
    <row r="646">
      <c r="D646" s="21" t="n"/>
    </row>
    <row r="647">
      <c r="D647" s="21" t="n"/>
    </row>
    <row r="648">
      <c r="D648" s="21" t="n"/>
    </row>
    <row r="649">
      <c r="D649" s="21" t="n"/>
    </row>
    <row r="650">
      <c r="D650" s="21" t="n"/>
    </row>
    <row r="651">
      <c r="D651" s="21" t="n"/>
    </row>
    <row r="652">
      <c r="D652" s="21" t="n"/>
    </row>
    <row r="653">
      <c r="D653" s="21" t="n"/>
    </row>
    <row r="654">
      <c r="D654" s="21" t="n"/>
    </row>
    <row r="655">
      <c r="D655" s="21" t="n"/>
    </row>
    <row r="656">
      <c r="D656" s="21" t="n"/>
    </row>
    <row r="657">
      <c r="D657" s="21" t="n"/>
    </row>
    <row r="658">
      <c r="D658" s="21" t="n"/>
    </row>
    <row r="659">
      <c r="D659" s="21" t="n"/>
    </row>
    <row r="660">
      <c r="D660" s="21" t="n"/>
    </row>
    <row r="661">
      <c r="D661" s="21" t="n"/>
    </row>
    <row r="662">
      <c r="D662" s="21" t="n"/>
    </row>
    <row r="663">
      <c r="D663" s="21" t="n"/>
    </row>
    <row r="664">
      <c r="D664" s="21" t="n"/>
    </row>
    <row r="665">
      <c r="D665" s="21" t="n"/>
    </row>
    <row r="666">
      <c r="D666" s="21" t="n"/>
    </row>
    <row r="667">
      <c r="D667" s="21" t="n"/>
    </row>
    <row r="668">
      <c r="D668" s="21" t="n"/>
    </row>
    <row r="669">
      <c r="D669" s="21" t="n"/>
    </row>
    <row r="670">
      <c r="D670" s="21" t="n"/>
    </row>
    <row r="671">
      <c r="D671" s="21" t="n"/>
    </row>
    <row r="672">
      <c r="D672" s="21" t="n"/>
    </row>
    <row r="673">
      <c r="D673" s="21" t="n"/>
    </row>
    <row r="674">
      <c r="D674" s="21" t="n"/>
    </row>
    <row r="675">
      <c r="D675" s="21" t="n"/>
    </row>
    <row r="676">
      <c r="D676" s="21" t="n"/>
    </row>
    <row r="677">
      <c r="D677" s="21" t="n"/>
    </row>
    <row r="678">
      <c r="D678" s="21" t="n"/>
    </row>
    <row r="679">
      <c r="D679" s="21" t="n"/>
    </row>
    <row r="680">
      <c r="D680" s="21" t="n"/>
    </row>
    <row r="681">
      <c r="D681" s="21" t="n"/>
    </row>
    <row r="682">
      <c r="D682" s="21" t="n"/>
    </row>
    <row r="683">
      <c r="D683" s="21" t="n"/>
    </row>
    <row r="684">
      <c r="D684" s="21" t="n"/>
    </row>
    <row r="685">
      <c r="D685" s="21" t="n"/>
    </row>
    <row r="686">
      <c r="D686" s="21" t="n"/>
    </row>
    <row r="687">
      <c r="D687" s="21" t="n"/>
    </row>
    <row r="688">
      <c r="D688" s="21" t="n"/>
    </row>
    <row r="689">
      <c r="D689" s="21" t="n"/>
    </row>
    <row r="690">
      <c r="D690" s="21" t="n"/>
    </row>
    <row r="691">
      <c r="D691" s="21" t="n"/>
    </row>
    <row r="692">
      <c r="D692" s="21" t="n"/>
    </row>
    <row r="693">
      <c r="D693" s="21" t="n"/>
    </row>
    <row r="694">
      <c r="D694" s="21" t="n"/>
    </row>
    <row r="695">
      <c r="D695" s="21" t="n"/>
    </row>
    <row r="696">
      <c r="D696" s="21" t="n"/>
    </row>
    <row r="697">
      <c r="D697" s="21" t="n"/>
    </row>
    <row r="698">
      <c r="D698" s="21" t="n"/>
    </row>
    <row r="699">
      <c r="D699" s="21" t="n"/>
    </row>
    <row r="700">
      <c r="D700" s="21" t="n"/>
    </row>
    <row r="701">
      <c r="D701" s="21" t="n"/>
    </row>
    <row r="702">
      <c r="D702" s="21" t="n"/>
    </row>
    <row r="703">
      <c r="D703" s="21" t="n"/>
    </row>
    <row r="704">
      <c r="D704" s="21" t="n"/>
    </row>
    <row r="705">
      <c r="D705" s="21" t="n"/>
    </row>
    <row r="706">
      <c r="D706" s="21" t="n"/>
    </row>
    <row r="707">
      <c r="D707" s="21" t="n"/>
    </row>
    <row r="708">
      <c r="D708" s="21" t="n"/>
    </row>
    <row r="709">
      <c r="D709" s="21" t="n"/>
    </row>
    <row r="710">
      <c r="D710" s="21" t="n"/>
    </row>
    <row r="711">
      <c r="D711" s="21" t="n"/>
    </row>
    <row r="712">
      <c r="D712" s="21" t="n"/>
    </row>
    <row r="713">
      <c r="D713" s="21" t="n"/>
    </row>
    <row r="714">
      <c r="D714" s="21" t="n"/>
    </row>
    <row r="715">
      <c r="D715" s="21" t="n"/>
    </row>
    <row r="716">
      <c r="D716" s="21" t="n"/>
    </row>
    <row r="717">
      <c r="D717" s="21" t="n"/>
    </row>
    <row r="718">
      <c r="D718" s="21" t="n"/>
    </row>
    <row r="719">
      <c r="D719" s="21" t="n"/>
    </row>
    <row r="720">
      <c r="D720" s="21" t="n"/>
    </row>
    <row r="721">
      <c r="D721" s="21" t="n"/>
    </row>
    <row r="722">
      <c r="D722" s="21" t="n"/>
    </row>
    <row r="723">
      <c r="D723" s="21" t="n"/>
    </row>
    <row r="724">
      <c r="D724" s="21" t="n"/>
    </row>
    <row r="725">
      <c r="D725" s="21" t="n"/>
    </row>
    <row r="726">
      <c r="D726" s="21" t="n"/>
    </row>
    <row r="727">
      <c r="D727" s="21" t="n"/>
    </row>
    <row r="728">
      <c r="D728" s="21" t="n"/>
    </row>
    <row r="729">
      <c r="D729" s="21" t="n"/>
    </row>
    <row r="730">
      <c r="D730" s="21" t="n"/>
    </row>
    <row r="731">
      <c r="D731" s="21" t="n"/>
    </row>
    <row r="732">
      <c r="D732" s="21" t="n"/>
    </row>
    <row r="733">
      <c r="D733" s="21" t="n"/>
    </row>
    <row r="734">
      <c r="D734" s="21" t="n"/>
    </row>
    <row r="735">
      <c r="D735" s="21" t="n"/>
    </row>
    <row r="736">
      <c r="D736" s="21" t="n"/>
    </row>
    <row r="737">
      <c r="D737" s="21" t="n"/>
    </row>
    <row r="738">
      <c r="D738" s="21" t="n"/>
    </row>
    <row r="739">
      <c r="D739" s="21" t="n"/>
    </row>
    <row r="740">
      <c r="D740" s="21" t="n"/>
    </row>
    <row r="741">
      <c r="D741" s="21" t="n"/>
    </row>
    <row r="742">
      <c r="D742" s="21" t="n"/>
    </row>
    <row r="743">
      <c r="D743" s="21" t="n"/>
    </row>
    <row r="744">
      <c r="D744" s="21" t="n"/>
    </row>
    <row r="745">
      <c r="D745" s="21" t="n"/>
    </row>
    <row r="746">
      <c r="D746" s="21" t="n"/>
    </row>
    <row r="747">
      <c r="D747" s="21" t="n"/>
    </row>
    <row r="748">
      <c r="D748" s="21" t="n"/>
    </row>
    <row r="749">
      <c r="D749" s="21" t="n"/>
    </row>
    <row r="750">
      <c r="D750" s="21" t="n"/>
    </row>
    <row r="751">
      <c r="D751" s="21" t="n"/>
    </row>
    <row r="752">
      <c r="D752" s="21" t="n"/>
    </row>
    <row r="753">
      <c r="D753" s="21" t="n"/>
    </row>
    <row r="754">
      <c r="D754" s="21" t="n"/>
    </row>
    <row r="755">
      <c r="D755" s="21" t="n"/>
    </row>
    <row r="756">
      <c r="D756" s="21" t="n"/>
    </row>
    <row r="757">
      <c r="D757" s="21" t="n"/>
    </row>
    <row r="758">
      <c r="D758" s="21" t="n"/>
    </row>
    <row r="759">
      <c r="D759" s="21" t="n"/>
    </row>
    <row r="760">
      <c r="D760" s="21" t="n"/>
    </row>
    <row r="761">
      <c r="D761" s="21" t="n"/>
    </row>
    <row r="762">
      <c r="D762" s="21" t="n"/>
    </row>
    <row r="763">
      <c r="D763" s="21" t="n"/>
    </row>
    <row r="764">
      <c r="D764" s="21" t="n"/>
    </row>
    <row r="765">
      <c r="D765" s="21" t="n"/>
    </row>
    <row r="766">
      <c r="D766" s="21" t="n"/>
    </row>
    <row r="767">
      <c r="D767" s="21" t="n"/>
    </row>
    <row r="768">
      <c r="D768" s="21" t="n"/>
    </row>
    <row r="769">
      <c r="D769" s="21" t="n"/>
    </row>
    <row r="770">
      <c r="D770" s="21" t="n"/>
    </row>
    <row r="771">
      <c r="D771" s="21" t="n"/>
    </row>
    <row r="772">
      <c r="D772" s="21" t="n"/>
    </row>
    <row r="773">
      <c r="D773" s="21" t="n"/>
    </row>
    <row r="774">
      <c r="D774" s="21" t="n"/>
    </row>
    <row r="775">
      <c r="D775" s="21" t="n"/>
    </row>
    <row r="776">
      <c r="D776" s="21" t="n"/>
    </row>
    <row r="777">
      <c r="D777" s="21" t="n"/>
    </row>
    <row r="778">
      <c r="D778" s="21" t="n"/>
    </row>
    <row r="779">
      <c r="D779" s="21" t="n"/>
    </row>
    <row r="780">
      <c r="D780" s="21" t="n"/>
    </row>
    <row r="781">
      <c r="D781" s="21" t="n"/>
    </row>
    <row r="782">
      <c r="D782" s="21" t="n"/>
    </row>
    <row r="783">
      <c r="D783" s="21" t="n"/>
    </row>
    <row r="784">
      <c r="D784" s="21" t="n"/>
    </row>
    <row r="785">
      <c r="D785" s="21" t="n"/>
    </row>
    <row r="786">
      <c r="D786" s="21" t="n"/>
    </row>
    <row r="787">
      <c r="D787" s="21" t="n"/>
    </row>
    <row r="788">
      <c r="D788" s="21" t="n"/>
    </row>
    <row r="789">
      <c r="D789" s="21" t="n"/>
    </row>
    <row r="790">
      <c r="D790" s="21" t="n"/>
    </row>
    <row r="791">
      <c r="D791" s="21" t="n"/>
    </row>
    <row r="792">
      <c r="D792" s="21" t="n"/>
    </row>
    <row r="793">
      <c r="D793" s="21" t="n"/>
    </row>
    <row r="794">
      <c r="D794" s="21" t="n"/>
    </row>
    <row r="795">
      <c r="D795" s="21" t="n"/>
    </row>
    <row r="796">
      <c r="D796" s="21" t="n"/>
    </row>
    <row r="797">
      <c r="D797" s="21" t="n"/>
    </row>
    <row r="798">
      <c r="D798" s="21" t="n"/>
    </row>
    <row r="799">
      <c r="D799" s="21" t="n"/>
    </row>
    <row r="800">
      <c r="D800" s="21" t="n"/>
    </row>
    <row r="801">
      <c r="D801" s="21" t="n"/>
    </row>
    <row r="802">
      <c r="D802" s="21" t="n"/>
    </row>
    <row r="803">
      <c r="D803" s="21" t="n"/>
    </row>
    <row r="804">
      <c r="D804" s="21" t="n"/>
    </row>
    <row r="805">
      <c r="D805" s="21" t="n"/>
    </row>
    <row r="806">
      <c r="D806" s="21" t="n"/>
    </row>
    <row r="807">
      <c r="D807" s="21" t="n"/>
    </row>
    <row r="808">
      <c r="D808" s="21" t="n"/>
    </row>
    <row r="809">
      <c r="D809" s="21" t="n"/>
    </row>
    <row r="810">
      <c r="D810" s="21" t="n"/>
    </row>
    <row r="811">
      <c r="D811" s="21" t="n"/>
    </row>
    <row r="812">
      <c r="D812" s="21" t="n"/>
    </row>
    <row r="813">
      <c r="D813" s="21" t="n"/>
    </row>
    <row r="814">
      <c r="D814" s="21" t="n"/>
    </row>
    <row r="815">
      <c r="D815" s="21" t="n"/>
    </row>
    <row r="816">
      <c r="D816" s="21" t="n"/>
    </row>
    <row r="817">
      <c r="D817" s="21" t="n"/>
    </row>
    <row r="818">
      <c r="D818" s="21" t="n"/>
    </row>
    <row r="819">
      <c r="D819" s="21" t="n"/>
    </row>
    <row r="820">
      <c r="D820" s="21" t="n"/>
    </row>
    <row r="821">
      <c r="D821" s="21" t="n"/>
    </row>
    <row r="822">
      <c r="D822" s="21" t="n"/>
    </row>
    <row r="823">
      <c r="D823" s="21" t="n"/>
    </row>
    <row r="824">
      <c r="D824" s="21" t="n"/>
    </row>
    <row r="825">
      <c r="D825" s="21" t="n"/>
    </row>
    <row r="826">
      <c r="D826" s="21" t="n"/>
    </row>
    <row r="827">
      <c r="D827" s="21" t="n"/>
    </row>
    <row r="828">
      <c r="D828" s="21" t="n"/>
    </row>
    <row r="829">
      <c r="D829" s="21" t="n"/>
    </row>
    <row r="830">
      <c r="D830" s="21" t="n"/>
    </row>
    <row r="831">
      <c r="D831" s="21" t="n"/>
    </row>
    <row r="832">
      <c r="D832" s="21" t="n"/>
    </row>
    <row r="833">
      <c r="D833" s="21" t="n"/>
    </row>
    <row r="834">
      <c r="D834" s="21" t="n"/>
    </row>
    <row r="835">
      <c r="D835" s="21" t="n"/>
    </row>
    <row r="836">
      <c r="D836" s="21" t="n"/>
    </row>
    <row r="837">
      <c r="D837" s="21" t="n"/>
    </row>
    <row r="838">
      <c r="D838" s="21" t="n"/>
    </row>
    <row r="839">
      <c r="D839" s="21" t="n"/>
    </row>
    <row r="840">
      <c r="D840" s="21" t="n"/>
    </row>
    <row r="841">
      <c r="D841" s="21" t="n"/>
    </row>
    <row r="842">
      <c r="D842" s="21" t="n"/>
    </row>
    <row r="843">
      <c r="D843" s="21" t="n"/>
    </row>
    <row r="844">
      <c r="D844" s="21" t="n"/>
    </row>
    <row r="845">
      <c r="D845" s="21" t="n"/>
    </row>
    <row r="846">
      <c r="D846" s="21" t="n"/>
    </row>
    <row r="847">
      <c r="D847" s="21" t="n"/>
    </row>
    <row r="848">
      <c r="D848" s="21" t="n"/>
    </row>
    <row r="849">
      <c r="D849" s="21" t="n"/>
    </row>
    <row r="850">
      <c r="D850" s="21" t="n"/>
    </row>
    <row r="851">
      <c r="D851" s="21" t="n"/>
    </row>
    <row r="852">
      <c r="D852" s="21" t="n"/>
    </row>
    <row r="853">
      <c r="D853" s="21" t="n"/>
    </row>
    <row r="854">
      <c r="D854" s="21" t="n"/>
    </row>
    <row r="855">
      <c r="D855" s="21" t="n"/>
    </row>
    <row r="856">
      <c r="D856" s="21" t="n"/>
    </row>
    <row r="857">
      <c r="D857" s="21" t="n"/>
    </row>
    <row r="858">
      <c r="D858" s="21" t="n"/>
    </row>
    <row r="859">
      <c r="D859" s="21" t="n"/>
    </row>
    <row r="860">
      <c r="D860" s="21" t="n"/>
    </row>
    <row r="861">
      <c r="D861" s="21" t="n"/>
    </row>
    <row r="862">
      <c r="D862" s="21" t="n"/>
    </row>
    <row r="863">
      <c r="D863" s="21" t="n"/>
    </row>
    <row r="864">
      <c r="D864" s="21" t="n"/>
    </row>
    <row r="865">
      <c r="D865" s="21" t="n"/>
    </row>
    <row r="866">
      <c r="D866" s="21" t="n"/>
    </row>
    <row r="867">
      <c r="D867" s="21" t="n"/>
    </row>
    <row r="868">
      <c r="D868" s="21" t="n"/>
    </row>
    <row r="869">
      <c r="D869" s="21" t="n"/>
    </row>
    <row r="870">
      <c r="D870" s="21" t="n"/>
    </row>
    <row r="871">
      <c r="D871" s="21" t="n"/>
    </row>
    <row r="872">
      <c r="D872" s="21" t="n"/>
    </row>
    <row r="873">
      <c r="D873" s="21" t="n"/>
    </row>
    <row r="874">
      <c r="D874" s="21" t="n"/>
    </row>
    <row r="875">
      <c r="D875" s="21" t="n"/>
    </row>
    <row r="876">
      <c r="D876" s="21" t="n"/>
    </row>
    <row r="877">
      <c r="D877" s="21" t="n"/>
    </row>
    <row r="878">
      <c r="D878" s="21" t="n"/>
    </row>
    <row r="879">
      <c r="D879" s="21" t="n"/>
    </row>
    <row r="880">
      <c r="D880" s="21" t="n"/>
    </row>
    <row r="881">
      <c r="D881" s="21" t="n"/>
    </row>
    <row r="882">
      <c r="D882" s="21" t="n"/>
    </row>
    <row r="883">
      <c r="D883" s="21" t="n"/>
    </row>
    <row r="884">
      <c r="D884" s="21" t="n"/>
    </row>
    <row r="885">
      <c r="D885" s="21" t="n"/>
    </row>
    <row r="886">
      <c r="D886" s="21" t="n"/>
    </row>
    <row r="887">
      <c r="D887" s="21" t="n"/>
    </row>
    <row r="888">
      <c r="D888" s="21" t="n"/>
    </row>
    <row r="889">
      <c r="D889" s="21" t="n"/>
    </row>
    <row r="890">
      <c r="D890" s="21" t="n"/>
    </row>
    <row r="891">
      <c r="D891" s="21" t="n"/>
    </row>
    <row r="892">
      <c r="D892" s="21" t="n"/>
    </row>
    <row r="893">
      <c r="D893" s="21" t="n"/>
    </row>
    <row r="894">
      <c r="D894" s="21" t="n"/>
    </row>
    <row r="895">
      <c r="D895" s="21" t="n"/>
    </row>
    <row r="896">
      <c r="D896" s="21" t="n"/>
    </row>
    <row r="897">
      <c r="D897" s="21" t="n"/>
    </row>
    <row r="898">
      <c r="D898" s="21" t="n"/>
    </row>
    <row r="899">
      <c r="D899" s="21" t="n"/>
    </row>
    <row r="900">
      <c r="D900" s="21" t="n"/>
    </row>
    <row r="901">
      <c r="D901" s="21" t="n"/>
    </row>
    <row r="902">
      <c r="D902" s="21" t="n"/>
    </row>
    <row r="903">
      <c r="D903" s="21" t="n"/>
    </row>
    <row r="904">
      <c r="D904" s="21" t="n"/>
    </row>
    <row r="905">
      <c r="D905" s="21" t="n"/>
    </row>
    <row r="906">
      <c r="D906" s="21" t="n"/>
    </row>
    <row r="907">
      <c r="D907" s="21" t="n"/>
    </row>
    <row r="908">
      <c r="D908" s="21" t="n"/>
    </row>
    <row r="909">
      <c r="D909" s="21" t="n"/>
    </row>
    <row r="910">
      <c r="D910" s="21" t="n"/>
    </row>
    <row r="911">
      <c r="D911" s="21" t="n"/>
    </row>
    <row r="912">
      <c r="D912" s="21" t="n"/>
    </row>
    <row r="913">
      <c r="D913" s="21" t="n"/>
    </row>
    <row r="914">
      <c r="D914" s="21" t="n"/>
    </row>
    <row r="915">
      <c r="D915" s="21" t="n"/>
    </row>
    <row r="916">
      <c r="D916" s="21" t="n"/>
    </row>
    <row r="917">
      <c r="D917" s="21" t="n"/>
    </row>
    <row r="918">
      <c r="D918" s="21" t="n"/>
    </row>
    <row r="919">
      <c r="D919" s="21" t="n"/>
    </row>
    <row r="920">
      <c r="D920" s="21" t="n"/>
    </row>
    <row r="921">
      <c r="D921" s="21" t="n"/>
    </row>
    <row r="922">
      <c r="D922" s="21" t="n"/>
    </row>
    <row r="923">
      <c r="D923" s="21" t="n"/>
    </row>
    <row r="924">
      <c r="D924" s="21" t="n"/>
    </row>
    <row r="925">
      <c r="D925" s="21" t="n"/>
    </row>
    <row r="926">
      <c r="D926" s="21" t="n"/>
    </row>
    <row r="927">
      <c r="D927" s="21" t="n"/>
    </row>
    <row r="928">
      <c r="D928" s="21" t="n"/>
    </row>
    <row r="929">
      <c r="D929" s="21" t="n"/>
    </row>
    <row r="930">
      <c r="D930" s="21" t="n"/>
    </row>
    <row r="931">
      <c r="D931" s="21" t="n"/>
    </row>
    <row r="932">
      <c r="D932" s="21" t="n"/>
    </row>
    <row r="933">
      <c r="D933" s="21" t="n"/>
    </row>
    <row r="934">
      <c r="D934" s="21" t="n"/>
    </row>
    <row r="935">
      <c r="D935" s="21" t="n"/>
    </row>
    <row r="936">
      <c r="D936" s="21" t="n"/>
    </row>
    <row r="937">
      <c r="D937" s="21" t="n"/>
    </row>
    <row r="938">
      <c r="D938" s="21" t="n"/>
    </row>
    <row r="939">
      <c r="D939" s="21" t="n"/>
    </row>
    <row r="940">
      <c r="D940" s="21" t="n"/>
    </row>
    <row r="941">
      <c r="D941" s="21" t="n"/>
    </row>
    <row r="942">
      <c r="D942" s="21" t="n"/>
    </row>
    <row r="943">
      <c r="D943" s="21" t="n"/>
    </row>
    <row r="944">
      <c r="D944" s="21" t="n"/>
    </row>
    <row r="945">
      <c r="D945" s="21" t="n"/>
    </row>
    <row r="946">
      <c r="D946" s="21" t="n"/>
    </row>
    <row r="947">
      <c r="D947" s="21" t="n"/>
    </row>
    <row r="948">
      <c r="D948" s="21" t="n"/>
    </row>
    <row r="949">
      <c r="D949" s="21" t="n"/>
    </row>
    <row r="950">
      <c r="D950" s="21" t="n"/>
    </row>
    <row r="951">
      <c r="D951" s="21" t="n"/>
    </row>
    <row r="952">
      <c r="D952" s="21" t="n"/>
    </row>
    <row r="953">
      <c r="D953" s="21" t="n"/>
    </row>
    <row r="954">
      <c r="D954" s="21" t="n"/>
    </row>
    <row r="955">
      <c r="D955" s="21" t="n"/>
    </row>
    <row r="956">
      <c r="D956" s="21" t="n"/>
    </row>
    <row r="957">
      <c r="D957" s="21" t="n"/>
    </row>
    <row r="958">
      <c r="D958" s="21" t="n"/>
    </row>
    <row r="959">
      <c r="D959" s="21" t="n"/>
    </row>
    <row r="960">
      <c r="D960" s="21" t="n"/>
    </row>
    <row r="961">
      <c r="D961" s="21" t="n"/>
    </row>
    <row r="962">
      <c r="D962" s="21" t="n"/>
    </row>
    <row r="963">
      <c r="D963" s="21" t="n"/>
    </row>
    <row r="964">
      <c r="D964" s="21" t="n"/>
    </row>
    <row r="965">
      <c r="D965" s="21" t="n"/>
    </row>
    <row r="966">
      <c r="D966" s="21" t="n"/>
    </row>
    <row r="967">
      <c r="D967" s="21" t="n"/>
    </row>
    <row r="968">
      <c r="D968" s="21" t="n"/>
    </row>
    <row r="969">
      <c r="D969" s="21" t="n"/>
    </row>
    <row r="970">
      <c r="D970" s="21" t="n"/>
    </row>
    <row r="971">
      <c r="D971" s="21" t="n"/>
    </row>
    <row r="972">
      <c r="D972" s="21" t="n"/>
    </row>
    <row r="973">
      <c r="D973" s="21" t="n"/>
    </row>
    <row r="974">
      <c r="D974" s="21" t="n"/>
    </row>
    <row r="975">
      <c r="D975" s="21" t="n"/>
    </row>
    <row r="976">
      <c r="D976" s="21" t="n"/>
    </row>
    <row r="977">
      <c r="D977" s="21" t="n"/>
    </row>
    <row r="978">
      <c r="D978" s="21" t="n"/>
    </row>
    <row r="979">
      <c r="D979" s="21" t="n"/>
    </row>
    <row r="980">
      <c r="D980" s="21" t="n"/>
    </row>
    <row r="981">
      <c r="D981" s="21" t="n"/>
    </row>
    <row r="982">
      <c r="D982" s="21" t="n"/>
    </row>
    <row r="983">
      <c r="D983" s="21" t="n"/>
    </row>
    <row r="984">
      <c r="D984" s="21" t="n"/>
    </row>
    <row r="985">
      <c r="D985" s="21" t="n"/>
    </row>
    <row r="986">
      <c r="D986" s="21" t="n"/>
    </row>
    <row r="987">
      <c r="D987" s="21" t="n"/>
    </row>
    <row r="988">
      <c r="D988" s="21" t="n"/>
    </row>
    <row r="989">
      <c r="D989" s="21" t="n"/>
    </row>
    <row r="990">
      <c r="D990" s="21" t="n"/>
    </row>
    <row r="991">
      <c r="D991" s="21" t="n"/>
    </row>
    <row r="992">
      <c r="D992" s="21" t="n"/>
    </row>
    <row r="993">
      <c r="D993" s="21" t="n"/>
    </row>
    <row r="994">
      <c r="D994" s="21" t="n"/>
    </row>
    <row r="995">
      <c r="D995" s="21" t="n"/>
    </row>
    <row r="996">
      <c r="D996" s="21" t="n"/>
    </row>
    <row r="997">
      <c r="D997" s="21" t="n"/>
    </row>
    <row r="998">
      <c r="D998" s="21" t="n"/>
    </row>
    <row r="999">
      <c r="D999" s="21" t="n"/>
    </row>
    <row r="1000">
      <c r="D1000" s="21" t="n"/>
    </row>
  </sheetData>
  <dataValidations count="1">
    <dataValidation sqref="A2:A16" showDropDown="1" showInputMessage="0" showErrorMessage="0" allowBlank="1" type="custom">
      <formula1>AND(ISNUMBER(A2),(NOT(OR(NOT(ISERROR(DATEVALUE(A2))), AND(ISNUMBER(A2), LEFT(CELL("format", A2))="D")))))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500"/>
  <sheetViews>
    <sheetView workbookViewId="0">
      <selection activeCell="A1" sqref="A1"/>
    </sheetView>
  </sheetViews>
  <sheetFormatPr baseColWidth="8" defaultColWidth="12.63" defaultRowHeight="15.75" customHeight="1"/>
  <cols>
    <col width="6.88" customWidth="1" style="38" min="1" max="1"/>
    <col width="28" customWidth="1" style="38" min="3" max="3"/>
    <col width="46.25" customWidth="1" style="38" min="4" max="4"/>
    <col width="38.5" customWidth="1" style="38" min="5" max="5"/>
    <col width="32.75" customWidth="1" style="38" min="6" max="6"/>
    <col width="23.63" customWidth="1" style="38" min="7" max="7"/>
    <col width="22.88" customWidth="1" style="38" min="8" max="8"/>
    <col width="46.5" customWidth="1" style="38" min="9" max="9"/>
    <col width="32.13" customWidth="1" style="38" min="10" max="10"/>
    <col width="59.25" customWidth="1" style="38" min="11" max="11"/>
    <col width="28.13" customWidth="1" style="38" min="12" max="12"/>
  </cols>
  <sheetData>
    <row r="1">
      <c r="A1" s="28" t="inlineStr">
        <is>
          <t>ID</t>
        </is>
      </c>
      <c r="B1" s="28" t="inlineStr">
        <is>
          <t>PMS Area</t>
        </is>
      </c>
      <c r="C1" s="28" t="inlineStr">
        <is>
          <t>Canonical Intent</t>
        </is>
      </c>
      <c r="D1" s="28" t="inlineStr">
        <is>
          <t>Primary Question</t>
        </is>
      </c>
      <c r="E1" s="28" t="inlineStr">
        <is>
          <t>Alternative Phrasing 1</t>
        </is>
      </c>
      <c r="F1" s="28" t="inlineStr">
        <is>
          <t>Alternative Phrasing 2</t>
        </is>
      </c>
      <c r="G1" s="28" t="inlineStr">
        <is>
          <t>Required Entities / Parameters</t>
        </is>
      </c>
      <c r="H1" s="28" t="inlineStr">
        <is>
          <t>Schema Support</t>
        </is>
      </c>
      <c r="I1" s="28" t="inlineStr">
        <is>
          <t>Relevant Schema Objects</t>
        </is>
      </c>
      <c r="J1" s="28" t="inlineStr">
        <is>
          <t>Query Mapping Status</t>
        </is>
      </c>
      <c r="K1" s="28" t="inlineStr">
        <is>
          <t>Clarification / Mapping Notes</t>
        </is>
      </c>
      <c r="L1" s="28" t="inlineStr">
        <is>
          <t>Recommended Cache Mechanism</t>
        </is>
      </c>
    </row>
    <row r="2">
      <c r="A2" s="29" t="n">
        <v>1</v>
      </c>
      <c r="B2" s="30" t="inlineStr">
        <is>
          <t>Projects</t>
        </is>
      </c>
      <c r="C2" s="31" t="inlineStr">
        <is>
          <t>my_active_projects</t>
        </is>
      </c>
      <c r="D2" s="31" t="inlineStr">
        <is>
          <t>What are my active projects?</t>
        </is>
      </c>
      <c r="E2" s="31" t="inlineStr">
        <is>
          <t>Show the projects I am currently working on.</t>
        </is>
      </c>
      <c r="F2" s="31" t="inlineStr">
        <is>
          <t>List my ongoing projects.</t>
        </is>
      </c>
      <c r="G2" s="31" t="inlineStr">
        <is>
          <t>current_user</t>
        </is>
      </c>
      <c r="H2" s="32" t="inlineStr">
        <is>
          <t>Direct</t>
        </is>
      </c>
      <c r="I2" s="31" t="inlineStr">
        <is>
          <t>tbl_projects; tbl_project_users</t>
        </is>
      </c>
      <c r="J2" s="33" t="inlineStr">
        <is>
          <t>Pending SQL mapping</t>
        </is>
      </c>
      <c r="K2" s="31" t="inlineStr">
        <is>
          <t>Define whether “my” includes member, PM, owner, or task assignee.</t>
        </is>
      </c>
      <c r="L2" s="31" t="inlineStr">
        <is>
          <t>FAQ Tool Call Binding</t>
        </is>
      </c>
    </row>
    <row r="3">
      <c r="A3" s="29" t="n">
        <v>2</v>
      </c>
      <c r="B3" s="30" t="inlineStr">
        <is>
          <t>Projects</t>
        </is>
      </c>
      <c r="C3" s="31" t="inlineStr">
        <is>
          <t>projects_managed_by_me</t>
        </is>
      </c>
      <c r="D3" s="31" t="inlineStr">
        <is>
          <t>Which projects am I managing?</t>
        </is>
      </c>
      <c r="E3" s="31" t="inlineStr">
        <is>
          <t>Show projects where I am the project manager.</t>
        </is>
      </c>
      <c r="F3" s="31" t="inlineStr">
        <is>
          <t>List projects managed by me.</t>
        </is>
      </c>
      <c r="G3" s="31" t="inlineStr">
        <is>
          <t>current_user</t>
        </is>
      </c>
      <c r="H3" s="32" t="inlineStr">
        <is>
          <t>Direct</t>
        </is>
      </c>
      <c r="I3" s="31" t="inlineStr">
        <is>
          <t>tbl_projects.pm_user_id</t>
        </is>
      </c>
      <c r="J3" s="33" t="inlineStr">
        <is>
          <t>Pending SQL mapping</t>
        </is>
      </c>
      <c r="K3" s="31" t="inlineStr">
        <is>
          <t>Use PM field; confirm whether project_owner_id also counts.</t>
        </is>
      </c>
      <c r="L3" s="31" t="inlineStr">
        <is>
          <t>FAQ Tool Call Binding</t>
        </is>
      </c>
    </row>
    <row r="4">
      <c r="A4" s="29" t="n">
        <v>3</v>
      </c>
      <c r="B4" s="30" t="inlineStr">
        <is>
          <t>Projects</t>
        </is>
      </c>
      <c r="C4" s="31" t="inlineStr">
        <is>
          <t>projects_owned_by_me</t>
        </is>
      </c>
      <c r="D4" s="31" t="inlineStr">
        <is>
          <t>Which projects do I own?</t>
        </is>
      </c>
      <c r="E4" s="31" t="inlineStr">
        <is>
          <t>Show projects where I am the owner.</t>
        </is>
      </c>
      <c r="F4" s="31" t="inlineStr">
        <is>
          <t>List projects owned by me.</t>
        </is>
      </c>
      <c r="G4" s="31" t="inlineStr">
        <is>
          <t>current_user</t>
        </is>
      </c>
      <c r="H4" s="32" t="inlineStr">
        <is>
          <t>Direct</t>
        </is>
      </c>
      <c r="I4" s="31" t="inlineStr">
        <is>
          <t>tbl_projects.project_owner_id</t>
        </is>
      </c>
      <c r="J4" s="33" t="inlineStr">
        <is>
          <t>Pending SQL mapping</t>
        </is>
      </c>
      <c r="K4" s="31" t="inlineStr">
        <is>
          <t>Distinct from project manager.</t>
        </is>
      </c>
      <c r="L4" s="31" t="inlineStr">
        <is>
          <t>FAQ Tool Call Binding</t>
        </is>
      </c>
    </row>
    <row r="5">
      <c r="A5" s="29" t="n">
        <v>4</v>
      </c>
      <c r="B5" s="30" t="inlineStr">
        <is>
          <t>Projects</t>
        </is>
      </c>
      <c r="C5" s="31" t="inlineStr">
        <is>
          <t>project_details</t>
        </is>
      </c>
      <c r="D5" s="31" t="inlineStr">
        <is>
          <t>Show details of project :project_name.</t>
        </is>
      </c>
      <c r="E5" s="31" t="inlineStr">
        <is>
          <t>Give me the project information for :project_name.</t>
        </is>
      </c>
      <c r="F5" s="31" t="inlineStr">
        <is>
          <t>Open the summary of :project_name.</t>
        </is>
      </c>
      <c r="G5" s="31" t="inlineStr">
        <is>
          <t>project_name</t>
        </is>
      </c>
      <c r="H5" s="32" t="inlineStr">
        <is>
          <t>Direct</t>
        </is>
      </c>
      <c r="I5" s="31" t="inlineStr">
        <is>
          <t>tbl_projects</t>
        </is>
      </c>
      <c r="J5" s="33" t="inlineStr">
        <is>
          <t>Pending SQL mapping</t>
        </is>
      </c>
      <c r="K5" s="31" t="inlineStr">
        <is>
          <t>Project-name matching and duplicate-title handling required.</t>
        </is>
      </c>
      <c r="L5" s="31" t="inlineStr">
        <is>
          <t>FAQ Tool Call Binding</t>
        </is>
      </c>
    </row>
    <row r="6">
      <c r="A6" s="29" t="n">
        <v>5</v>
      </c>
      <c r="B6" s="30" t="inlineStr">
        <is>
          <t>Projects</t>
        </is>
      </c>
      <c r="C6" s="31" t="inlineStr">
        <is>
          <t>project_status</t>
        </is>
      </c>
      <c r="D6" s="31" t="inlineStr">
        <is>
          <t>What is the status of project :project_name?</t>
        </is>
      </c>
      <c r="E6" s="31" t="inlineStr">
        <is>
          <t>Show the current status of :project_name.</t>
        </is>
      </c>
      <c r="F6" s="31" t="inlineStr">
        <is>
          <t>Is :project_name active or completed?</t>
        </is>
      </c>
      <c r="G6" s="31" t="inlineStr">
        <is>
          <t>project_name</t>
        </is>
      </c>
      <c r="H6" s="32" t="inlineStr">
        <is>
          <t>Direct</t>
        </is>
      </c>
      <c r="I6" s="31" t="inlineStr">
        <is>
          <t>tbl_projects; tbl_project_status</t>
        </is>
      </c>
      <c r="J6" s="33" t="inlineStr">
        <is>
          <t>Pending SQL mapping</t>
        </is>
      </c>
      <c r="K6" s="31" t="inlineStr">
        <is>
          <t>Lookup master data required.</t>
        </is>
      </c>
      <c r="L6" s="31" t="inlineStr">
        <is>
          <t>FAQ Tool Call Binding</t>
        </is>
      </c>
    </row>
    <row r="7">
      <c r="A7" s="29" t="n">
        <v>6</v>
      </c>
      <c r="B7" s="30" t="inlineStr">
        <is>
          <t>Projects</t>
        </is>
      </c>
      <c r="C7" s="31" t="inlineStr">
        <is>
          <t>project_stage</t>
        </is>
      </c>
      <c r="D7" s="31" t="inlineStr">
        <is>
          <t>What stage is :project_name in?</t>
        </is>
      </c>
      <c r="E7" s="31" t="inlineStr">
        <is>
          <t>Show the current stage of :project_name.</t>
        </is>
      </c>
      <c r="F7" s="31" t="inlineStr">
        <is>
          <t>Which delivery stage has :project_name reached?</t>
        </is>
      </c>
      <c r="G7" s="31" t="inlineStr">
        <is>
          <t>project_name</t>
        </is>
      </c>
      <c r="H7" s="32" t="inlineStr">
        <is>
          <t>Direct</t>
        </is>
      </c>
      <c r="I7" s="31" t="inlineStr">
        <is>
          <t>tbl_projects; tbl_project_stages</t>
        </is>
      </c>
      <c r="J7" s="33" t="inlineStr">
        <is>
          <t>Pending SQL mapping</t>
        </is>
      </c>
      <c r="K7" s="31" t="inlineStr">
        <is>
          <t>Lookup master data required.</t>
        </is>
      </c>
      <c r="L7" s="31" t="inlineStr">
        <is>
          <t>FAQ Tool Call Binding</t>
        </is>
      </c>
    </row>
    <row r="8">
      <c r="A8" s="29" t="n">
        <v>7</v>
      </c>
      <c r="B8" s="30" t="inlineStr">
        <is>
          <t>Projects</t>
        </is>
      </c>
      <c r="C8" s="31" t="inlineStr">
        <is>
          <t>project_rag</t>
        </is>
      </c>
      <c r="D8" s="31" t="inlineStr">
        <is>
          <t>What is the RAG status of :project_name?</t>
        </is>
      </c>
      <c r="E8" s="31" t="inlineStr">
        <is>
          <t>Show the health colour of :project_name.</t>
        </is>
      </c>
      <c r="F8" s="31" t="inlineStr">
        <is>
          <t>Is :project_name red, amber, or green?</t>
        </is>
      </c>
      <c r="G8" s="31" t="inlineStr">
        <is>
          <t>project_name</t>
        </is>
      </c>
      <c r="H8" s="32" t="inlineStr">
        <is>
          <t>Direct</t>
        </is>
      </c>
      <c r="I8" s="31" t="inlineStr">
        <is>
          <t>tbl_projects.rag</t>
        </is>
      </c>
      <c r="J8" s="33" t="inlineStr">
        <is>
          <t>Pending SQL mapping</t>
        </is>
      </c>
      <c r="K8" s="31" t="inlineStr">
        <is>
          <t>Confirm stored values and meaning.</t>
        </is>
      </c>
      <c r="L8" s="31" t="inlineStr">
        <is>
          <t>FAQ Tool Call Binding</t>
        </is>
      </c>
    </row>
    <row r="9">
      <c r="A9" s="29" t="n">
        <v>8</v>
      </c>
      <c r="B9" s="30" t="inlineStr">
        <is>
          <t>Projects</t>
        </is>
      </c>
      <c r="C9" s="31" t="inlineStr">
        <is>
          <t>project_priority</t>
        </is>
      </c>
      <c r="D9" s="31" t="inlineStr">
        <is>
          <t>What is the priority of :project_name?</t>
        </is>
      </c>
      <c r="E9" s="31" t="inlineStr">
        <is>
          <t>Show the priority assigned to :project_name.</t>
        </is>
      </c>
      <c r="F9" s="31" t="inlineStr">
        <is>
          <t>Is :project_name high priority?</t>
        </is>
      </c>
      <c r="G9" s="31" t="inlineStr">
        <is>
          <t>project_name</t>
        </is>
      </c>
      <c r="H9" s="32" t="inlineStr">
        <is>
          <t>Direct</t>
        </is>
      </c>
      <c r="I9" s="31" t="inlineStr">
        <is>
          <t>tbl_projects.priority; tbl_project_priority</t>
        </is>
      </c>
      <c r="J9" s="33" t="inlineStr">
        <is>
          <t>Pending SQL mapping</t>
        </is>
      </c>
      <c r="K9" s="31" t="inlineStr">
        <is>
          <t>Confirm whether priority stores ID or text.</t>
        </is>
      </c>
      <c r="L9" s="31" t="inlineStr">
        <is>
          <t>FAQ Tool Call Binding</t>
        </is>
      </c>
    </row>
    <row r="10">
      <c r="A10" s="29" t="n">
        <v>9</v>
      </c>
      <c r="B10" s="30" t="inlineStr">
        <is>
          <t>Projects</t>
        </is>
      </c>
      <c r="C10" s="31" t="inlineStr">
        <is>
          <t>projects_starting_period</t>
        </is>
      </c>
      <c r="D10" s="31" t="inlineStr">
        <is>
          <t>Which projects start between :start_date and :end_date?</t>
        </is>
      </c>
      <c r="E10" s="31" t="inlineStr">
        <is>
          <t>Show projects beginning in the selected period.</t>
        </is>
      </c>
      <c r="F10" s="31" t="inlineStr">
        <is>
          <t>List upcoming project starts.</t>
        </is>
      </c>
      <c r="G10" s="31" t="inlineStr">
        <is>
          <t>start_date, end_date</t>
        </is>
      </c>
      <c r="H10" s="32" t="inlineStr">
        <is>
          <t>Direct</t>
        </is>
      </c>
      <c r="I10" s="31" t="inlineStr">
        <is>
          <t>tbl_projects.start_date</t>
        </is>
      </c>
      <c r="J10" s="33" t="inlineStr">
        <is>
          <t>Pending SQL mapping</t>
        </is>
      </c>
      <c r="K10" s="31" t="inlineStr">
        <is>
          <t>Date boundaries to be inclusive.</t>
        </is>
      </c>
      <c r="L10" s="31" t="inlineStr">
        <is>
          <t>FAQ Tool Call Binding</t>
        </is>
      </c>
    </row>
    <row r="11">
      <c r="A11" s="29" t="n">
        <v>10</v>
      </c>
      <c r="B11" s="30" t="inlineStr">
        <is>
          <t>Projects</t>
        </is>
      </c>
      <c r="C11" s="31" t="inlineStr">
        <is>
          <t>projects_ending_period</t>
        </is>
      </c>
      <c r="D11" s="31" t="inlineStr">
        <is>
          <t>Which projects end between :start_date and :end_date?</t>
        </is>
      </c>
      <c r="E11" s="31" t="inlineStr">
        <is>
          <t>Show projects scheduled to finish in the selected period.</t>
        </is>
      </c>
      <c r="F11" s="31" t="inlineStr">
        <is>
          <t>List upcoming project end dates.</t>
        </is>
      </c>
      <c r="G11" s="31" t="inlineStr">
        <is>
          <t>start_date, end_date</t>
        </is>
      </c>
      <c r="H11" s="32" t="inlineStr">
        <is>
          <t>Direct</t>
        </is>
      </c>
      <c r="I11" s="31" t="inlineStr">
        <is>
          <t>tbl_projects.end_date</t>
        </is>
      </c>
      <c r="J11" s="33" t="inlineStr">
        <is>
          <t>Pending SQL mapping</t>
        </is>
      </c>
      <c r="K11" s="31" t="inlineStr">
        <is>
          <t>Date boundaries to be inclusive.</t>
        </is>
      </c>
      <c r="L11" s="31" t="inlineStr">
        <is>
          <t>FAQ Tool Call Binding</t>
        </is>
      </c>
    </row>
    <row r="12">
      <c r="A12" s="29" t="n">
        <v>11</v>
      </c>
      <c r="B12" s="30" t="inlineStr">
        <is>
          <t>Projects</t>
        </is>
      </c>
      <c r="C12" s="31" t="inlineStr">
        <is>
          <t>overdue_projects</t>
        </is>
      </c>
      <c r="D12" s="31" t="inlineStr">
        <is>
          <t>Which projects are overdue?</t>
        </is>
      </c>
      <c r="E12" s="31" t="inlineStr">
        <is>
          <t>Show active projects past their end date.</t>
        </is>
      </c>
      <c r="F12" s="31" t="inlineStr">
        <is>
          <t>List delayed projects.</t>
        </is>
      </c>
      <c r="G12" s="31" t="inlineStr">
        <is>
          <t>as_of_date</t>
        </is>
      </c>
      <c r="H12" s="34" t="inlineStr">
        <is>
          <t>Derived</t>
        </is>
      </c>
      <c r="I12" s="31" t="inlineStr">
        <is>
          <t>tbl_projects.end_date; tbl_project_status</t>
        </is>
      </c>
      <c r="J12" s="35" t="inlineStr">
        <is>
          <t>Pending business rule</t>
        </is>
      </c>
      <c r="K12" s="31" t="inlineStr">
        <is>
          <t>Define which project statuses are considered open.</t>
        </is>
      </c>
      <c r="L12" s="31" t="inlineStr">
        <is>
          <t>FAQ Tool Call Binding</t>
        </is>
      </c>
    </row>
    <row r="13">
      <c r="A13" s="29" t="n">
        <v>12</v>
      </c>
      <c r="B13" s="30" t="inlineStr">
        <is>
          <t>Projects</t>
        </is>
      </c>
      <c r="C13" s="31" t="inlineStr">
        <is>
          <t>projects_by_department</t>
        </is>
      </c>
      <c r="D13" s="31" t="inlineStr">
        <is>
          <t>Show projects for department :department_name.</t>
        </is>
      </c>
      <c r="E13" s="31" t="inlineStr">
        <is>
          <t>List active projects owned by :department_name.</t>
        </is>
      </c>
      <c r="F13" s="31" t="inlineStr">
        <is>
          <t>Which projects belong to :department_name?</t>
        </is>
      </c>
      <c r="G13" s="31" t="inlineStr">
        <is>
          <t>department_name</t>
        </is>
      </c>
      <c r="H13" s="32" t="inlineStr">
        <is>
          <t>Direct</t>
        </is>
      </c>
      <c r="I13" s="31" t="inlineStr">
        <is>
          <t>tbl_projects.department_id; tbl_project_department</t>
        </is>
      </c>
      <c r="J13" s="33" t="inlineStr">
        <is>
          <t>Pending SQL mapping</t>
        </is>
      </c>
      <c r="K13" s="31" t="inlineStr">
        <is>
          <t>Confirm active-only default.</t>
        </is>
      </c>
      <c r="L13" s="31" t="inlineStr">
        <is>
          <t>FAQ Tool Call Binding</t>
        </is>
      </c>
    </row>
    <row r="14">
      <c r="A14" s="29" t="n">
        <v>13</v>
      </c>
      <c r="B14" s="30" t="inlineStr">
        <is>
          <t>Projects</t>
        </is>
      </c>
      <c r="C14" s="31" t="inlineStr">
        <is>
          <t>projects_by_team</t>
        </is>
      </c>
      <c r="D14" s="31" t="inlineStr">
        <is>
          <t>Show projects for team :team_name.</t>
        </is>
      </c>
      <c r="E14" s="31" t="inlineStr">
        <is>
          <t>List projects assigned to :team_name.</t>
        </is>
      </c>
      <c r="F14" s="31" t="inlineStr">
        <is>
          <t>Which projects belong to :team_name?</t>
        </is>
      </c>
      <c r="G14" s="31" t="inlineStr">
        <is>
          <t>team_name</t>
        </is>
      </c>
      <c r="H14" s="32" t="inlineStr">
        <is>
          <t>Direct</t>
        </is>
      </c>
      <c r="I14" s="31" t="inlineStr">
        <is>
          <t>tbl_projects.team_id; tbl_project_team</t>
        </is>
      </c>
      <c r="J14" s="33" t="inlineStr">
        <is>
          <t>Pending SQL mapping</t>
        </is>
      </c>
      <c r="K14" s="31" t="inlineStr">
        <is>
          <t>Confirm team hierarchy handling.</t>
        </is>
      </c>
      <c r="L14" s="31" t="inlineStr">
        <is>
          <t>FAQ Tool Call Binding</t>
        </is>
      </c>
    </row>
    <row r="15">
      <c r="A15" s="29" t="n">
        <v>14</v>
      </c>
      <c r="B15" s="30" t="inlineStr">
        <is>
          <t>Projects</t>
        </is>
      </c>
      <c r="C15" s="31" t="inlineStr">
        <is>
          <t>projects_by_type</t>
        </is>
      </c>
      <c r="D15" s="31" t="inlineStr">
        <is>
          <t>Show projects of type :project_type.</t>
        </is>
      </c>
      <c r="E15" s="31" t="inlineStr">
        <is>
          <t>List :project_type projects.</t>
        </is>
      </c>
      <c r="F15" s="31" t="inlineStr">
        <is>
          <t>Which projects use project type :project_type?</t>
        </is>
      </c>
      <c r="G15" s="31" t="inlineStr">
        <is>
          <t>project_type</t>
        </is>
      </c>
      <c r="H15" s="32" t="inlineStr">
        <is>
          <t>Direct</t>
        </is>
      </c>
      <c r="I15" s="31" t="inlineStr">
        <is>
          <t>tbl_projects.project_type_id; tbl_project_types</t>
        </is>
      </c>
      <c r="J15" s="33" t="inlineStr">
        <is>
          <t>Pending SQL mapping</t>
        </is>
      </c>
      <c r="K15" s="31" t="inlineStr">
        <is>
          <t>Lookup values required.</t>
        </is>
      </c>
      <c r="L15" s="31" t="inlineStr">
        <is>
          <t>FAQ Tool Call Binding</t>
        </is>
      </c>
    </row>
    <row r="16">
      <c r="A16" s="29" t="n">
        <v>15</v>
      </c>
      <c r="B16" s="30" t="inlineStr">
        <is>
          <t>Projects</t>
        </is>
      </c>
      <c r="C16" s="31" t="inlineStr">
        <is>
          <t>projects_by_client</t>
        </is>
      </c>
      <c r="D16" s="31" t="inlineStr">
        <is>
          <t>Show projects for client :client_name.</t>
        </is>
      </c>
      <c r="E16" s="31" t="inlineStr">
        <is>
          <t>List projects associated with :client_name.</t>
        </is>
      </c>
      <c r="F16" s="31" t="inlineStr">
        <is>
          <t>Which projects belong to :client_name?</t>
        </is>
      </c>
      <c r="G16" s="31" t="inlineStr">
        <is>
          <t>client_name</t>
        </is>
      </c>
      <c r="H16" s="35" t="inlineStr">
        <is>
          <t>Partial</t>
        </is>
      </c>
      <c r="I16" s="31" t="inlineStr">
        <is>
          <t>tbl_projects.client_id</t>
        </is>
      </c>
      <c r="J16" s="35" t="inlineStr">
        <is>
          <t>Needs reference-table identification</t>
        </is>
      </c>
      <c r="K16" s="31" t="inlineStr">
        <is>
          <t>Client master table must be confirmed.</t>
        </is>
      </c>
      <c r="L16" s="31" t="inlineStr">
        <is>
          <t>FAQ Tool Call Binding</t>
        </is>
      </c>
    </row>
    <row r="17">
      <c r="A17" s="29" t="n">
        <v>16</v>
      </c>
      <c r="B17" s="30" t="inlineStr">
        <is>
          <t>Projects</t>
        </is>
      </c>
      <c r="C17" s="31" t="inlineStr">
        <is>
          <t>project_team_size</t>
        </is>
      </c>
      <c r="D17" s="31" t="inlineStr">
        <is>
          <t>How many active users are allocated to :project_name?</t>
        </is>
      </c>
      <c r="E17" s="31" t="inlineStr">
        <is>
          <t>Show the team size of :project_name.</t>
        </is>
      </c>
      <c r="F17" s="31" t="inlineStr">
        <is>
          <t>How many people are on :project_name?</t>
        </is>
      </c>
      <c r="G17" s="31" t="inlineStr">
        <is>
          <t>project_name</t>
        </is>
      </c>
      <c r="H17" s="32" t="inlineStr">
        <is>
          <t>Direct</t>
        </is>
      </c>
      <c r="I17" s="31" t="inlineStr">
        <is>
          <t>tbl_project_users</t>
        </is>
      </c>
      <c r="J17" s="33" t="inlineStr">
        <is>
          <t>Pending SQL mapping</t>
        </is>
      </c>
      <c r="K17" s="31" t="inlineStr">
        <is>
          <t>Define active allocation and request_status filters.</t>
        </is>
      </c>
      <c r="L17" s="31" t="inlineStr">
        <is>
          <t>FAQ Tool Call Binding</t>
        </is>
      </c>
    </row>
    <row r="18">
      <c r="A18" s="29" t="n">
        <v>17</v>
      </c>
      <c r="B18" s="30" t="inlineStr">
        <is>
          <t>Projects</t>
        </is>
      </c>
      <c r="C18" s="31" t="inlineStr">
        <is>
          <t>projects_without_pm</t>
        </is>
      </c>
      <c r="D18" s="31" t="inlineStr">
        <is>
          <t>Which projects do not have a project manager?</t>
        </is>
      </c>
      <c r="E18" s="31" t="inlineStr">
        <is>
          <t>Show projects with no PM assigned.</t>
        </is>
      </c>
      <c r="F18" s="31" t="inlineStr">
        <is>
          <t>List unowned PM assignments.</t>
        </is>
      </c>
      <c r="G18" s="31" t="inlineStr">
        <is>
          <t>none</t>
        </is>
      </c>
      <c r="H18" s="32" t="inlineStr">
        <is>
          <t>Direct</t>
        </is>
      </c>
      <c r="I18" s="31" t="inlineStr">
        <is>
          <t>tbl_projects.pm_user_id</t>
        </is>
      </c>
      <c r="J18" s="33" t="inlineStr">
        <is>
          <t>Pending SQL mapping</t>
        </is>
      </c>
      <c r="K18" s="31" t="inlineStr">
        <is>
          <t>Null and zero handling required.</t>
        </is>
      </c>
      <c r="L18" s="31" t="inlineStr">
        <is>
          <t>FAQ Tool Call Binding</t>
        </is>
      </c>
    </row>
    <row r="19">
      <c r="A19" s="29" t="n">
        <v>18</v>
      </c>
      <c r="B19" s="30" t="inlineStr">
        <is>
          <t>Projects</t>
        </is>
      </c>
      <c r="C19" s="31" t="inlineStr">
        <is>
          <t>projects_without_members</t>
        </is>
      </c>
      <c r="D19" s="31" t="inlineStr">
        <is>
          <t>Which active projects have no allocated users?</t>
        </is>
      </c>
      <c r="E19" s="31" t="inlineStr">
        <is>
          <t>Show projects without team members.</t>
        </is>
      </c>
      <c r="F19" s="31" t="inlineStr">
        <is>
          <t>List active projects with an empty team.</t>
        </is>
      </c>
      <c r="G19" s="31" t="inlineStr">
        <is>
          <t>none</t>
        </is>
      </c>
      <c r="H19" s="34" t="inlineStr">
        <is>
          <t>Derived</t>
        </is>
      </c>
      <c r="I19" s="31" t="inlineStr">
        <is>
          <t>tbl_projects; tbl_project_users</t>
        </is>
      </c>
      <c r="J19" s="33" t="inlineStr">
        <is>
          <t>Pending SQL mapping</t>
        </is>
      </c>
      <c r="K19" s="31" t="inlineStr">
        <is>
          <t>Define active project and active membership.</t>
        </is>
      </c>
      <c r="L19" s="31" t="inlineStr">
        <is>
          <t>FAQ Tool Call Binding</t>
        </is>
      </c>
    </row>
    <row r="20">
      <c r="A20" s="29" t="n">
        <v>19</v>
      </c>
      <c r="B20" s="30" t="inlineStr">
        <is>
          <t>Projects</t>
        </is>
      </c>
      <c r="C20" s="31" t="inlineStr">
        <is>
          <t>project_recent_changes</t>
        </is>
      </c>
      <c r="D20" s="31" t="inlineStr">
        <is>
          <t>What changed recently in :project_name?</t>
        </is>
      </c>
      <c r="E20" s="31" t="inlineStr">
        <is>
          <t>Show recent project updates for :project_name.</t>
        </is>
      </c>
      <c r="F20" s="31" t="inlineStr">
        <is>
          <t>List recent status changes for :project_name.</t>
        </is>
      </c>
      <c r="G20" s="31" t="inlineStr">
        <is>
          <t>project_name, lookback_days</t>
        </is>
      </c>
      <c r="H20" s="35" t="inlineStr">
        <is>
          <t>Partial</t>
        </is>
      </c>
      <c r="I20" s="31" t="inlineStr">
        <is>
          <t>tbl_project_status_history; tbl_project_users_log; audit tables</t>
        </is>
      </c>
      <c r="J20" s="35" t="inlineStr">
        <is>
          <t>Needs audit-scope definition</t>
        </is>
      </c>
      <c r="K20" s="31" t="inlineStr">
        <is>
          <t>Clarify which audit sources count as project changes.</t>
        </is>
      </c>
      <c r="L20" s="31" t="inlineStr">
        <is>
          <t>FAQ Tool Call Binding</t>
        </is>
      </c>
    </row>
    <row r="21">
      <c r="A21" s="29" t="n">
        <v>20</v>
      </c>
      <c r="B21" s="30" t="inlineStr">
        <is>
          <t>Projects</t>
        </is>
      </c>
      <c r="C21" s="31" t="inlineStr">
        <is>
          <t>active_project_portfolio</t>
        </is>
      </c>
      <c r="D21" s="31" t="inlineStr">
        <is>
          <t>Give me a summary of active projects.</t>
        </is>
      </c>
      <c r="E21" s="31" t="inlineStr">
        <is>
          <t>Show active project counts by status and stage.</t>
        </is>
      </c>
      <c r="F21" s="31" t="inlineStr">
        <is>
          <t>Summarize the current project portfolio.</t>
        </is>
      </c>
      <c r="G21" s="31" t="inlineStr">
        <is>
          <t>current_user_scope</t>
        </is>
      </c>
      <c r="H21" s="34" t="inlineStr">
        <is>
          <t>Derived</t>
        </is>
      </c>
      <c r="I21" s="31" t="inlineStr">
        <is>
          <t>tbl_projects; status/stage masters</t>
        </is>
      </c>
      <c r="J21" s="35" t="inlineStr">
        <is>
          <t>Pending business rule</t>
        </is>
      </c>
      <c r="K21" s="31" t="inlineStr">
        <is>
          <t>Define visibility scope and summary measures.</t>
        </is>
      </c>
      <c r="L21" s="31" t="inlineStr">
        <is>
          <t>FAQ Tool Call Binding</t>
        </is>
      </c>
    </row>
    <row r="22">
      <c r="A22" s="29" t="n">
        <v>21</v>
      </c>
      <c r="B22" s="30" t="inlineStr">
        <is>
          <t>Milestones</t>
        </is>
      </c>
      <c r="C22" s="31" t="inlineStr">
        <is>
          <t>project_milestones</t>
        </is>
      </c>
      <c r="D22" s="31" t="inlineStr">
        <is>
          <t>Show milestones for :project_name.</t>
        </is>
      </c>
      <c r="E22" s="31" t="inlineStr">
        <is>
          <t>List all milestones mapped to :project_name.</t>
        </is>
      </c>
      <c r="F22" s="31" t="inlineStr">
        <is>
          <t>What milestones exist for :project_name?</t>
        </is>
      </c>
      <c r="G22" s="31" t="inlineStr">
        <is>
          <t>project_name</t>
        </is>
      </c>
      <c r="H22" s="32" t="inlineStr">
        <is>
          <t>Direct</t>
        </is>
      </c>
      <c r="I22" s="31" t="inlineStr">
        <is>
          <t>tbl_project_task_milestone; tbl_project_task_milestone_mapping</t>
        </is>
      </c>
      <c r="J22" s="33" t="inlineStr">
        <is>
          <t>Pending SQL mapping</t>
        </is>
      </c>
      <c r="K22" s="31" t="inlineStr">
        <is>
          <t>Milestones are inferred through mapping table.</t>
        </is>
      </c>
      <c r="L22" s="31" t="inlineStr">
        <is>
          <t>FAQ Tool Call Binding</t>
        </is>
      </c>
    </row>
    <row r="23">
      <c r="A23" s="29" t="n">
        <v>22</v>
      </c>
      <c r="B23" s="30" t="inlineStr">
        <is>
          <t>Milestones</t>
        </is>
      </c>
      <c r="C23" s="31" t="inlineStr">
        <is>
          <t>upcoming_milestones</t>
        </is>
      </c>
      <c r="D23" s="31" t="inlineStr">
        <is>
          <t>Which milestones are due in the next :days days?</t>
        </is>
      </c>
      <c r="E23" s="31" t="inlineStr">
        <is>
          <t>Show upcoming milestone deadlines.</t>
        </is>
      </c>
      <c r="F23" s="31" t="inlineStr">
        <is>
          <t>List milestones ending soon.</t>
        </is>
      </c>
      <c r="G23" s="31" t="inlineStr">
        <is>
          <t>days</t>
        </is>
      </c>
      <c r="H23" s="32" t="inlineStr">
        <is>
          <t>Direct</t>
        </is>
      </c>
      <c r="I23" s="31" t="inlineStr">
        <is>
          <t>tbl_project_task_milestone.end_date</t>
        </is>
      </c>
      <c r="J23" s="33" t="inlineStr">
        <is>
          <t>Pending SQL mapping</t>
        </is>
      </c>
      <c r="K23" s="31" t="inlineStr">
        <is>
          <t>Confirm whether mapping dates override milestone dates.</t>
        </is>
      </c>
      <c r="L23" s="31" t="inlineStr">
        <is>
          <t>FAQ Tool Call Binding</t>
        </is>
      </c>
    </row>
    <row r="24">
      <c r="A24" s="29" t="n">
        <v>23</v>
      </c>
      <c r="B24" s="30" t="inlineStr">
        <is>
          <t>Milestones</t>
        </is>
      </c>
      <c r="C24" s="31" t="inlineStr">
        <is>
          <t>overdue_milestones</t>
        </is>
      </c>
      <c r="D24" s="31" t="inlineStr">
        <is>
          <t>Which milestones are overdue?</t>
        </is>
      </c>
      <c r="E24" s="31" t="inlineStr">
        <is>
          <t>Show milestones past their end date.</t>
        </is>
      </c>
      <c r="F24" s="31" t="inlineStr">
        <is>
          <t>List delayed milestones.</t>
        </is>
      </c>
      <c r="G24" s="31" t="inlineStr">
        <is>
          <t>as_of_date</t>
        </is>
      </c>
      <c r="H24" s="34" t="inlineStr">
        <is>
          <t>Derived</t>
        </is>
      </c>
      <c r="I24" s="31" t="inlineStr">
        <is>
          <t>tbl_project_task_milestone; mapping; tasks</t>
        </is>
      </c>
      <c r="J24" s="35" t="inlineStr">
        <is>
          <t>Pending business rule</t>
        </is>
      </c>
      <c r="K24" s="31" t="inlineStr">
        <is>
          <t>No milestone status field; completion must be inferred from mapped tasks.</t>
        </is>
      </c>
      <c r="L24" s="31" t="inlineStr">
        <is>
          <t>FAQ Tool Call Binding</t>
        </is>
      </c>
    </row>
    <row r="25">
      <c r="A25" s="29" t="n">
        <v>24</v>
      </c>
      <c r="B25" s="30" t="inlineStr">
        <is>
          <t>Milestones</t>
        </is>
      </c>
      <c r="C25" s="31" t="inlineStr">
        <is>
          <t>next_project_milestone</t>
        </is>
      </c>
      <c r="D25" s="31" t="inlineStr">
        <is>
          <t>What is the next milestone for :project_name?</t>
        </is>
      </c>
      <c r="E25" s="31" t="inlineStr">
        <is>
          <t>Show the nearest upcoming milestone for :project_name.</t>
        </is>
      </c>
      <c r="F25" s="31" t="inlineStr">
        <is>
          <t>Which milestone comes next for :project_name?</t>
        </is>
      </c>
      <c r="G25" s="31" t="inlineStr">
        <is>
          <t>project_name</t>
        </is>
      </c>
      <c r="H25" s="32" t="inlineStr">
        <is>
          <t>Direct</t>
        </is>
      </c>
      <c r="I25" s="31" t="inlineStr">
        <is>
          <t>milestone tables</t>
        </is>
      </c>
      <c r="J25" s="33" t="inlineStr">
        <is>
          <t>Pending SQL mapping</t>
        </is>
      </c>
      <c r="K25" s="31" t="inlineStr">
        <is>
          <t>Use earliest future end date.</t>
        </is>
      </c>
      <c r="L25" s="31" t="inlineStr">
        <is>
          <t>FAQ Tool Call Binding</t>
        </is>
      </c>
    </row>
    <row r="26">
      <c r="A26" s="29" t="n">
        <v>25</v>
      </c>
      <c r="B26" s="30" t="inlineStr">
        <is>
          <t>Milestones</t>
        </is>
      </c>
      <c r="C26" s="31" t="inlineStr">
        <is>
          <t>milestone_tasks</t>
        </is>
      </c>
      <c r="D26" s="31" t="inlineStr">
        <is>
          <t>Which tasks belong to milestone :milestone_name?</t>
        </is>
      </c>
      <c r="E26" s="31" t="inlineStr">
        <is>
          <t>Show tasks mapped to :milestone_name.</t>
        </is>
      </c>
      <c r="F26" s="31" t="inlineStr">
        <is>
          <t>List the work items under :milestone_name.</t>
        </is>
      </c>
      <c r="G26" s="31" t="inlineStr">
        <is>
          <t>milestone_name, project_name</t>
        </is>
      </c>
      <c r="H26" s="32" t="inlineStr">
        <is>
          <t>Direct</t>
        </is>
      </c>
      <c r="I26" s="31" t="inlineStr">
        <is>
          <t>tbl_project_task_milestone_mapping; tbl_project_tasks</t>
        </is>
      </c>
      <c r="J26" s="33" t="inlineStr">
        <is>
          <t>Pending SQL mapping</t>
        </is>
      </c>
      <c r="K26" s="31" t="inlineStr">
        <is>
          <t>Project name may be required to disambiguate duplicate milestone names.</t>
        </is>
      </c>
      <c r="L26" s="31" t="inlineStr">
        <is>
          <t>FAQ Tool Call Binding</t>
        </is>
      </c>
    </row>
    <row r="27">
      <c r="A27" s="29" t="n">
        <v>26</v>
      </c>
      <c r="B27" s="30" t="inlineStr">
        <is>
          <t>Milestones</t>
        </is>
      </c>
      <c r="C27" s="31" t="inlineStr">
        <is>
          <t>milestone_task_progress</t>
        </is>
      </c>
      <c r="D27" s="31" t="inlineStr">
        <is>
          <t>What is the task completion progress of milestone :milestone_name?</t>
        </is>
      </c>
      <c r="E27" s="31" t="inlineStr">
        <is>
          <t>How many milestone tasks are completed?</t>
        </is>
      </c>
      <c r="F27" s="31" t="inlineStr">
        <is>
          <t>Show completed versus open tasks for :milestone_name.</t>
        </is>
      </c>
      <c r="G27" s="31" t="inlineStr">
        <is>
          <t>milestone_name, project_name</t>
        </is>
      </c>
      <c r="H27" s="34" t="inlineStr">
        <is>
          <t>Derived</t>
        </is>
      </c>
      <c r="I27" s="31" t="inlineStr">
        <is>
          <t>mapping; tasks; task status</t>
        </is>
      </c>
      <c r="J27" s="35" t="inlineStr">
        <is>
          <t>Pending business rule</t>
        </is>
      </c>
      <c r="K27" s="31" t="inlineStr">
        <is>
          <t>Define closed task statuses.</t>
        </is>
      </c>
      <c r="L27" s="31" t="inlineStr">
        <is>
          <t>FAQ Tool Call Binding</t>
        </is>
      </c>
    </row>
    <row r="28">
      <c r="A28" s="29" t="n">
        <v>27</v>
      </c>
      <c r="B28" s="30" t="inlineStr">
        <is>
          <t>Milestones</t>
        </is>
      </c>
      <c r="C28" s="31" t="inlineStr">
        <is>
          <t>milestones_without_tasks</t>
        </is>
      </c>
      <c r="D28" s="31" t="inlineStr">
        <is>
          <t>Which milestones have no mapped tasks?</t>
        </is>
      </c>
      <c r="E28" s="31" t="inlineStr">
        <is>
          <t>Show empty milestones.</t>
        </is>
      </c>
      <c r="F28" s="31" t="inlineStr">
        <is>
          <t>List milestones that are not linked to work items.</t>
        </is>
      </c>
      <c r="G28" s="31" t="inlineStr">
        <is>
          <t>none</t>
        </is>
      </c>
      <c r="H28" s="32" t="inlineStr">
        <is>
          <t>Direct</t>
        </is>
      </c>
      <c r="I28" s="31" t="inlineStr">
        <is>
          <t>milestone tables</t>
        </is>
      </c>
      <c r="J28" s="33" t="inlineStr">
        <is>
          <t>Pending SQL mapping</t>
        </is>
      </c>
      <c r="K28" s="31" t="inlineStr">
        <is>
          <t>Straight anti-join.</t>
        </is>
      </c>
      <c r="L28" s="31" t="inlineStr">
        <is>
          <t>FAQ Tool Call Binding</t>
        </is>
      </c>
    </row>
    <row r="29">
      <c r="A29" s="29" t="n">
        <v>28</v>
      </c>
      <c r="B29" s="30" t="inlineStr">
        <is>
          <t>Milestones</t>
        </is>
      </c>
      <c r="C29" s="31" t="inlineStr">
        <is>
          <t>milestone_date_slippage</t>
        </is>
      </c>
      <c r="D29" s="31" t="inlineStr">
        <is>
          <t>Which milestone dates differ from their mapped task dates?</t>
        </is>
      </c>
      <c r="E29" s="31" t="inlineStr">
        <is>
          <t>Show milestones with task schedules outside milestone dates.</t>
        </is>
      </c>
      <c r="F29" s="31" t="inlineStr">
        <is>
          <t>List milestone schedule mismatches.</t>
        </is>
      </c>
      <c r="G29" s="31" t="inlineStr">
        <is>
          <t>none</t>
        </is>
      </c>
      <c r="H29" s="34" t="inlineStr">
        <is>
          <t>Derived</t>
        </is>
      </c>
      <c r="I29" s="31" t="inlineStr">
        <is>
          <t>milestone tables; mapping</t>
        </is>
      </c>
      <c r="J29" s="35" t="inlineStr">
        <is>
          <t>Pending business rule</t>
        </is>
      </c>
      <c r="K29" s="31" t="inlineStr">
        <is>
          <t>No baseline milestone date exists; this is schedule consistency, not baseline slippage.</t>
        </is>
      </c>
      <c r="L29" s="31" t="inlineStr">
        <is>
          <t>FAQ Tool Call Binding</t>
        </is>
      </c>
    </row>
    <row r="30">
      <c r="A30" s="29" t="n">
        <v>29</v>
      </c>
      <c r="B30" s="30" t="inlineStr">
        <is>
          <t>Milestones</t>
        </is>
      </c>
      <c r="C30" s="31" t="inlineStr">
        <is>
          <t>milestones_due_month</t>
        </is>
      </c>
      <c r="D30" s="31" t="inlineStr">
        <is>
          <t>Which milestones are due this month?</t>
        </is>
      </c>
      <c r="E30" s="31" t="inlineStr">
        <is>
          <t>Show this month’s milestone deadlines.</t>
        </is>
      </c>
      <c r="F30" s="31" t="inlineStr">
        <is>
          <t>List milestones ending this month.</t>
        </is>
      </c>
      <c r="G30" s="31" t="inlineStr">
        <is>
          <t>month</t>
        </is>
      </c>
      <c r="H30" s="32" t="inlineStr">
        <is>
          <t>Direct</t>
        </is>
      </c>
      <c r="I30" s="31" t="inlineStr">
        <is>
          <t>tbl_project_task_milestone.end_date</t>
        </is>
      </c>
      <c r="J30" s="33" t="inlineStr">
        <is>
          <t>Pending SQL mapping</t>
        </is>
      </c>
      <c r="K30" s="31" t="inlineStr">
        <is>
          <t>Use organization timezone.</t>
        </is>
      </c>
      <c r="L30" s="31" t="inlineStr">
        <is>
          <t>FAQ Tool Call Binding</t>
        </is>
      </c>
    </row>
    <row r="31">
      <c r="A31" s="29" t="n">
        <v>30</v>
      </c>
      <c r="B31" s="30" t="inlineStr">
        <is>
          <t>Milestones</t>
        </is>
      </c>
      <c r="C31" s="31" t="inlineStr">
        <is>
          <t>milestone_owner</t>
        </is>
      </c>
      <c r="D31" s="31" t="inlineStr">
        <is>
          <t>Who owns milestone :milestone_name?</t>
        </is>
      </c>
      <c r="E31" s="31" t="inlineStr">
        <is>
          <t>Show the owner of :milestone_name.</t>
        </is>
      </c>
      <c r="F31" s="31" t="inlineStr">
        <is>
          <t>Who is responsible for :milestone_name?</t>
        </is>
      </c>
      <c r="G31" s="31" t="inlineStr">
        <is>
          <t>milestone_name</t>
        </is>
      </c>
      <c r="H31" s="36" t="inlineStr">
        <is>
          <t>Not supported directly</t>
        </is>
      </c>
      <c r="I31" s="31" t="inlineStr">
        <is>
          <t>milestone tables</t>
        </is>
      </c>
      <c r="J31" s="35" t="inlineStr">
        <is>
          <t>Needs product clarification</t>
        </is>
      </c>
      <c r="K31" s="31" t="inlineStr">
        <is>
          <t>No owner column exists on milestone table; may be inferred from task owners only.</t>
        </is>
      </c>
      <c r="L31" s="31" t="inlineStr">
        <is>
          <t>FAQ Tool Call Binding</t>
        </is>
      </c>
    </row>
    <row r="32">
      <c r="A32" s="29" t="n">
        <v>31</v>
      </c>
      <c r="B32" s="30" t="inlineStr">
        <is>
          <t>Tasks</t>
        </is>
      </c>
      <c r="C32" s="31" t="inlineStr">
        <is>
          <t>my_open_tasks</t>
        </is>
      </c>
      <c r="D32" s="31" t="inlineStr">
        <is>
          <t>What are my open tasks?</t>
        </is>
      </c>
      <c r="E32" s="31" t="inlineStr">
        <is>
          <t>Show tasks assigned to me that are not closed.</t>
        </is>
      </c>
      <c r="F32" s="31" t="inlineStr">
        <is>
          <t>List my pending work items.</t>
        </is>
      </c>
      <c r="G32" s="31" t="inlineStr">
        <is>
          <t>current_user</t>
        </is>
      </c>
      <c r="H32" s="32" t="inlineStr">
        <is>
          <t>Direct</t>
        </is>
      </c>
      <c r="I32" s="31" t="inlineStr">
        <is>
          <t>tbl_project_task_users; tbl_project_tasks; task status</t>
        </is>
      </c>
      <c r="J32" s="35" t="inlineStr">
        <is>
          <t>Pending business rule</t>
        </is>
      </c>
      <c r="K32" s="31" t="inlineStr">
        <is>
          <t>Define open status types and whether task_owner also counts.</t>
        </is>
      </c>
      <c r="L32" s="31" t="inlineStr">
        <is>
          <t>FAQ Tool Call Binding</t>
        </is>
      </c>
    </row>
    <row r="33">
      <c r="A33" s="29" t="n">
        <v>32</v>
      </c>
      <c r="B33" s="30" t="inlineStr">
        <is>
          <t>Tasks</t>
        </is>
      </c>
      <c r="C33" s="31" t="inlineStr">
        <is>
          <t>my_tasks_due_today</t>
        </is>
      </c>
      <c r="D33" s="31" t="inlineStr">
        <is>
          <t>Which of my tasks are due today?</t>
        </is>
      </c>
      <c r="E33" s="31" t="inlineStr">
        <is>
          <t>Show my tasks with today’s due date.</t>
        </is>
      </c>
      <c r="F33" s="31" t="inlineStr">
        <is>
          <t>What work is due for me today?</t>
        </is>
      </c>
      <c r="G33" s="31" t="inlineStr">
        <is>
          <t>current_user, current_date</t>
        </is>
      </c>
      <c r="H33" s="32" t="inlineStr">
        <is>
          <t>Direct</t>
        </is>
      </c>
      <c r="I33" s="31" t="inlineStr">
        <is>
          <t>task users; tasks</t>
        </is>
      </c>
      <c r="J33" s="33" t="inlineStr">
        <is>
          <t>Pending SQL mapping</t>
        </is>
      </c>
      <c r="K33" s="31" t="inlineStr">
        <is>
          <t>Use organization timezone.</t>
        </is>
      </c>
      <c r="L33" s="31" t="inlineStr">
        <is>
          <t>FAQ Tool Call Binding</t>
        </is>
      </c>
    </row>
    <row r="34">
      <c r="A34" s="29" t="n">
        <v>33</v>
      </c>
      <c r="B34" s="30" t="inlineStr">
        <is>
          <t>Tasks</t>
        </is>
      </c>
      <c r="C34" s="31" t="inlineStr">
        <is>
          <t>my_overdue_tasks</t>
        </is>
      </c>
      <c r="D34" s="31" t="inlineStr">
        <is>
          <t>Which of my tasks are overdue?</t>
        </is>
      </c>
      <c r="E34" s="31" t="inlineStr">
        <is>
          <t>Show my delayed tasks.</t>
        </is>
      </c>
      <c r="F34" s="31" t="inlineStr">
        <is>
          <t>List my open tasks past their due date.</t>
        </is>
      </c>
      <c r="G34" s="31" t="inlineStr">
        <is>
          <t>current_user, as_of_date</t>
        </is>
      </c>
      <c r="H34" s="34" t="inlineStr">
        <is>
          <t>Derived</t>
        </is>
      </c>
      <c r="I34" s="31" t="inlineStr">
        <is>
          <t>task users; tasks; task status</t>
        </is>
      </c>
      <c r="J34" s="35" t="inlineStr">
        <is>
          <t>Pending business rule</t>
        </is>
      </c>
      <c r="K34" s="31" t="inlineStr">
        <is>
          <t>Define open statuses.</t>
        </is>
      </c>
      <c r="L34" s="31" t="inlineStr">
        <is>
          <t>FAQ Tool Call Binding</t>
        </is>
      </c>
    </row>
    <row r="35">
      <c r="A35" s="29" t="n">
        <v>34</v>
      </c>
      <c r="B35" s="30" t="inlineStr">
        <is>
          <t>Tasks</t>
        </is>
      </c>
      <c r="C35" s="31" t="inlineStr">
        <is>
          <t>tasks_assigned_to_user</t>
        </is>
      </c>
      <c r="D35" s="31" t="inlineStr">
        <is>
          <t>Show tasks assigned to :employee_name.</t>
        </is>
      </c>
      <c r="E35" s="31" t="inlineStr">
        <is>
          <t>List :employee_name’s tasks.</t>
        </is>
      </c>
      <c r="F35" s="31" t="inlineStr">
        <is>
          <t>What work is assigned to :employee_name?</t>
        </is>
      </c>
      <c r="G35" s="31" t="inlineStr">
        <is>
          <t>employee_name</t>
        </is>
      </c>
      <c r="H35" s="32" t="inlineStr">
        <is>
          <t>Direct</t>
        </is>
      </c>
      <c r="I35" s="31" t="inlineStr">
        <is>
          <t>tbl_project_task_users; tbl_users; tasks</t>
        </is>
      </c>
      <c r="J35" s="33" t="inlineStr">
        <is>
          <t>Pending SQL mapping</t>
        </is>
      </c>
      <c r="K35" s="31" t="inlineStr">
        <is>
          <t>Handle active assignment status.</t>
        </is>
      </c>
      <c r="L35" s="31" t="inlineStr">
        <is>
          <t>FAQ Tool Call Binding</t>
        </is>
      </c>
    </row>
    <row r="36">
      <c r="A36" s="29" t="n">
        <v>35</v>
      </c>
      <c r="B36" s="30" t="inlineStr">
        <is>
          <t>Tasks</t>
        </is>
      </c>
      <c r="C36" s="31" t="inlineStr">
        <is>
          <t>project_open_tasks</t>
        </is>
      </c>
      <c r="D36" s="31" t="inlineStr">
        <is>
          <t>Show open tasks for :project_name.</t>
        </is>
      </c>
      <c r="E36" s="31" t="inlineStr">
        <is>
          <t>List pending tasks under :project_name.</t>
        </is>
      </c>
      <c r="F36" s="31" t="inlineStr">
        <is>
          <t>What work remains for :project_name?</t>
        </is>
      </c>
      <c r="G36" s="31" t="inlineStr">
        <is>
          <t>project_name</t>
        </is>
      </c>
      <c r="H36" s="34" t="inlineStr">
        <is>
          <t>Derived</t>
        </is>
      </c>
      <c r="I36" s="31" t="inlineStr">
        <is>
          <t>tasks; task status</t>
        </is>
      </c>
      <c r="J36" s="35" t="inlineStr">
        <is>
          <t>Pending business rule</t>
        </is>
      </c>
      <c r="K36" s="31" t="inlineStr">
        <is>
          <t>Define open statuses.</t>
        </is>
      </c>
      <c r="L36" s="31" t="inlineStr">
        <is>
          <t>FAQ Tool Call Binding</t>
        </is>
      </c>
    </row>
    <row r="37">
      <c r="A37" s="29" t="n">
        <v>36</v>
      </c>
      <c r="B37" s="30" t="inlineStr">
        <is>
          <t>Tasks</t>
        </is>
      </c>
      <c r="C37" s="31" t="inlineStr">
        <is>
          <t>project_closed_tasks</t>
        </is>
      </c>
      <c r="D37" s="31" t="inlineStr">
        <is>
          <t>Show completed tasks for :project_name.</t>
        </is>
      </c>
      <c r="E37" s="31" t="inlineStr">
        <is>
          <t>List closed tasks under :project_name.</t>
        </is>
      </c>
      <c r="F37" s="31" t="inlineStr">
        <is>
          <t>What tasks are finished in :project_name?</t>
        </is>
      </c>
      <c r="G37" s="31" t="inlineStr">
        <is>
          <t>project_name</t>
        </is>
      </c>
      <c r="H37" s="34" t="inlineStr">
        <is>
          <t>Derived</t>
        </is>
      </c>
      <c r="I37" s="31" t="inlineStr">
        <is>
          <t>tasks; task status</t>
        </is>
      </c>
      <c r="J37" s="35" t="inlineStr">
        <is>
          <t>Pending business rule</t>
        </is>
      </c>
      <c r="K37" s="31" t="inlineStr">
        <is>
          <t>Define closed status types.</t>
        </is>
      </c>
      <c r="L37" s="31" t="inlineStr">
        <is>
          <t>FAQ Tool Call Binding</t>
        </is>
      </c>
    </row>
    <row r="38">
      <c r="A38" s="29" t="n">
        <v>37</v>
      </c>
      <c r="B38" s="30" t="inlineStr">
        <is>
          <t>Tasks</t>
        </is>
      </c>
      <c r="C38" s="31" t="inlineStr">
        <is>
          <t>unassigned_tasks</t>
        </is>
      </c>
      <c r="D38" s="31" t="inlineStr">
        <is>
          <t>Which tasks are unassigned?</t>
        </is>
      </c>
      <c r="E38" s="31" t="inlineStr">
        <is>
          <t>Show tasks with no active assignee.</t>
        </is>
      </c>
      <c r="F38" s="31" t="inlineStr">
        <is>
          <t>List unallocated tasks.</t>
        </is>
      </c>
      <c r="G38" s="31" t="inlineStr">
        <is>
          <t>project_scope</t>
        </is>
      </c>
      <c r="H38" s="34" t="inlineStr">
        <is>
          <t>Derived</t>
        </is>
      </c>
      <c r="I38" s="31" t="inlineStr">
        <is>
          <t>tasks; task users</t>
        </is>
      </c>
      <c r="J38" s="33" t="inlineStr">
        <is>
          <t>Pending SQL mapping</t>
        </is>
      </c>
      <c r="K38" s="31" t="inlineStr">
        <is>
          <t>Confirm whether task_owner is an assignment.</t>
        </is>
      </c>
      <c r="L38" s="31" t="inlineStr">
        <is>
          <t>FAQ Tool Call Binding</t>
        </is>
      </c>
    </row>
    <row r="39">
      <c r="A39" s="29" t="n">
        <v>38</v>
      </c>
      <c r="B39" s="30" t="inlineStr">
        <is>
          <t>Tasks</t>
        </is>
      </c>
      <c r="C39" s="31" t="inlineStr">
        <is>
          <t>high_priority_tasks</t>
        </is>
      </c>
      <c r="D39" s="31" t="inlineStr">
        <is>
          <t>Show high-priority open tasks.</t>
        </is>
      </c>
      <c r="E39" s="31" t="inlineStr">
        <is>
          <t>List urgent pending tasks.</t>
        </is>
      </c>
      <c r="F39" s="31" t="inlineStr">
        <is>
          <t>Which open tasks have high priority?</t>
        </is>
      </c>
      <c r="G39" s="31" t="inlineStr">
        <is>
          <t>project_scope</t>
        </is>
      </c>
      <c r="H39" s="34" t="inlineStr">
        <is>
          <t>Derived</t>
        </is>
      </c>
      <c r="I39" s="31" t="inlineStr">
        <is>
          <t>tasks.priority; task status</t>
        </is>
      </c>
      <c r="J39" s="35" t="inlineStr">
        <is>
          <t>Needs lookup confirmation</t>
        </is>
      </c>
      <c r="K39" s="31" t="inlineStr">
        <is>
          <t>Confirm priority values.</t>
        </is>
      </c>
      <c r="L39" s="31" t="inlineStr">
        <is>
          <t>FAQ Tool Call Binding</t>
        </is>
      </c>
    </row>
    <row r="40">
      <c r="A40" s="29" t="n">
        <v>39</v>
      </c>
      <c r="B40" s="30" t="inlineStr">
        <is>
          <t>Tasks</t>
        </is>
      </c>
      <c r="C40" s="31" t="inlineStr">
        <is>
          <t>red_rag_tasks</t>
        </is>
      </c>
      <c r="D40" s="31" t="inlineStr">
        <is>
          <t>Which tasks have a red RAG status?</t>
        </is>
      </c>
      <c r="E40" s="31" t="inlineStr">
        <is>
          <t>Show red-health tasks.</t>
        </is>
      </c>
      <c r="F40" s="31" t="inlineStr">
        <is>
          <t>List tasks flagged red.</t>
        </is>
      </c>
      <c r="G40" s="31" t="inlineStr">
        <is>
          <t>project_scope</t>
        </is>
      </c>
      <c r="H40" s="32" t="inlineStr">
        <is>
          <t>Direct</t>
        </is>
      </c>
      <c r="I40" s="31" t="inlineStr">
        <is>
          <t>tbl_project_tasks.rag</t>
        </is>
      </c>
      <c r="J40" s="33" t="inlineStr">
        <is>
          <t>Pending SQL mapping</t>
        </is>
      </c>
      <c r="K40" s="31" t="inlineStr">
        <is>
          <t>Confirm stored RAG values.</t>
        </is>
      </c>
      <c r="L40" s="31" t="inlineStr">
        <is>
          <t>FAQ Tool Call Binding</t>
        </is>
      </c>
    </row>
    <row r="41">
      <c r="A41" s="29" t="n">
        <v>40</v>
      </c>
      <c r="B41" s="30" t="inlineStr">
        <is>
          <t>Tasks</t>
        </is>
      </c>
      <c r="C41" s="31" t="inlineStr">
        <is>
          <t>tasks_due_period</t>
        </is>
      </c>
      <c r="D41" s="31" t="inlineStr">
        <is>
          <t>Which tasks are due between :start_date and :end_date?</t>
        </is>
      </c>
      <c r="E41" s="31" t="inlineStr">
        <is>
          <t>Show tasks due in the selected period.</t>
        </is>
      </c>
      <c r="F41" s="31" t="inlineStr">
        <is>
          <t>List upcoming task deadlines.</t>
        </is>
      </c>
      <c r="G41" s="31" t="inlineStr">
        <is>
          <t>start_date, end_date</t>
        </is>
      </c>
      <c r="H41" s="32" t="inlineStr">
        <is>
          <t>Direct</t>
        </is>
      </c>
      <c r="I41" s="31" t="inlineStr">
        <is>
          <t>tbl_project_tasks.due_date</t>
        </is>
      </c>
      <c r="J41" s="33" t="inlineStr">
        <is>
          <t>Pending SQL mapping</t>
        </is>
      </c>
      <c r="K41" s="31" t="inlineStr">
        <is>
          <t>Default visibility scope required.</t>
        </is>
      </c>
      <c r="L41" s="31" t="inlineStr">
        <is>
          <t>FAQ Tool Call Binding</t>
        </is>
      </c>
    </row>
    <row r="42">
      <c r="A42" s="29" t="n">
        <v>41</v>
      </c>
      <c r="B42" s="30" t="inlineStr">
        <is>
          <t>Tasks</t>
        </is>
      </c>
      <c r="C42" s="31" t="inlineStr">
        <is>
          <t>task_details</t>
        </is>
      </c>
      <c r="D42" s="31" t="inlineStr">
        <is>
          <t>Show details of task :task_reference.</t>
        </is>
      </c>
      <c r="E42" s="31" t="inlineStr">
        <is>
          <t>Give me the task summary for :task_reference.</t>
        </is>
      </c>
      <c r="F42" s="31" t="inlineStr">
        <is>
          <t>Open task :task_reference.</t>
        </is>
      </c>
      <c r="G42" s="31" t="inlineStr">
        <is>
          <t>task_reference</t>
        </is>
      </c>
      <c r="H42" s="32" t="inlineStr">
        <is>
          <t>Direct</t>
        </is>
      </c>
      <c r="I42" s="31" t="inlineStr">
        <is>
          <t>tbl_project_tasks</t>
        </is>
      </c>
      <c r="J42" s="33" t="inlineStr">
        <is>
          <t>Pending SQL mapping</t>
        </is>
      </c>
      <c r="K42" s="31" t="inlineStr">
        <is>
          <t>Prefer reference_no over title.</t>
        </is>
      </c>
      <c r="L42" s="31" t="inlineStr">
        <is>
          <t>FAQ Tool Call Binding</t>
        </is>
      </c>
    </row>
    <row r="43">
      <c r="A43" s="29" t="n">
        <v>42</v>
      </c>
      <c r="B43" s="30" t="inlineStr">
        <is>
          <t>Tasks</t>
        </is>
      </c>
      <c r="C43" s="31" t="inlineStr">
        <is>
          <t>subtasks_of_task</t>
        </is>
      </c>
      <c r="D43" s="31" t="inlineStr">
        <is>
          <t>Show subtasks of :task_reference.</t>
        </is>
      </c>
      <c r="E43" s="31" t="inlineStr">
        <is>
          <t>List child tasks under :task_reference.</t>
        </is>
      </c>
      <c r="F43" s="31" t="inlineStr">
        <is>
          <t>What tasks depend hierarchically on :task_reference?</t>
        </is>
      </c>
      <c r="G43" s="31" t="inlineStr">
        <is>
          <t>task_reference</t>
        </is>
      </c>
      <c r="H43" s="32" t="inlineStr">
        <is>
          <t>Direct</t>
        </is>
      </c>
      <c r="I43" s="31" t="inlineStr">
        <is>
          <t>tbl_project_tasks.parent_id</t>
        </is>
      </c>
      <c r="J43" s="33" t="inlineStr">
        <is>
          <t>Pending SQL mapping</t>
        </is>
      </c>
      <c r="K43" s="31" t="inlineStr">
        <is>
          <t>Hierarchy only; not dependency semantics.</t>
        </is>
      </c>
      <c r="L43" s="31" t="inlineStr">
        <is>
          <t>FAQ Tool Call Binding</t>
        </is>
      </c>
    </row>
    <row r="44">
      <c r="A44" s="29" t="n">
        <v>43</v>
      </c>
      <c r="B44" s="30" t="inlineStr">
        <is>
          <t>Tasks</t>
        </is>
      </c>
      <c r="C44" s="31" t="inlineStr">
        <is>
          <t>task_assignees</t>
        </is>
      </c>
      <c r="D44" s="31" t="inlineStr">
        <is>
          <t>Who is assigned to task :task_reference?</t>
        </is>
      </c>
      <c r="E44" s="31" t="inlineStr">
        <is>
          <t>Show all assignees for :task_reference.</t>
        </is>
      </c>
      <c r="F44" s="31" t="inlineStr">
        <is>
          <t>Which users are allocated to :task_reference?</t>
        </is>
      </c>
      <c r="G44" s="31" t="inlineStr">
        <is>
          <t>task_reference</t>
        </is>
      </c>
      <c r="H44" s="32" t="inlineStr">
        <is>
          <t>Direct</t>
        </is>
      </c>
      <c r="I44" s="31" t="inlineStr">
        <is>
          <t>tbl_project_task_users; tbl_users</t>
        </is>
      </c>
      <c r="J44" s="33" t="inlineStr">
        <is>
          <t>Pending SQL mapping</t>
        </is>
      </c>
      <c r="K44" s="31" t="inlineStr">
        <is>
          <t>Include allot_percentage.</t>
        </is>
      </c>
      <c r="L44" s="31" t="inlineStr">
        <is>
          <t>FAQ Tool Call Binding</t>
        </is>
      </c>
    </row>
    <row r="45">
      <c r="A45" s="29" t="n">
        <v>44</v>
      </c>
      <c r="B45" s="30" t="inlineStr">
        <is>
          <t>Tasks</t>
        </is>
      </c>
      <c r="C45" s="31" t="inlineStr">
        <is>
          <t>task_allocation_percentages</t>
        </is>
      </c>
      <c r="D45" s="31" t="inlineStr">
        <is>
          <t>Show allocation percentages for task :task_reference.</t>
        </is>
      </c>
      <c r="E45" s="31" t="inlineStr">
        <is>
          <t>How is task :task_reference allocated?</t>
        </is>
      </c>
      <c r="F45" s="31" t="inlineStr">
        <is>
          <t>List assignees and percentages for :task_reference.</t>
        </is>
      </c>
      <c r="G45" s="31" t="inlineStr">
        <is>
          <t>task_reference</t>
        </is>
      </c>
      <c r="H45" s="32" t="inlineStr">
        <is>
          <t>Direct</t>
        </is>
      </c>
      <c r="I45" s="31" t="inlineStr">
        <is>
          <t>tbl_project_task_users.allot_percentage</t>
        </is>
      </c>
      <c r="J45" s="33" t="inlineStr">
        <is>
          <t>Pending SQL mapping</t>
        </is>
      </c>
      <c r="K45" s="31" t="inlineStr">
        <is>
          <t>Confirm whether total may exceed 100%.</t>
        </is>
      </c>
      <c r="L45" s="31" t="inlineStr">
        <is>
          <t>FAQ Tool Call Binding</t>
        </is>
      </c>
    </row>
    <row r="46">
      <c r="A46" s="29" t="n">
        <v>45</v>
      </c>
      <c r="B46" s="30" t="inlineStr">
        <is>
          <t>Tasks</t>
        </is>
      </c>
      <c r="C46" s="31" t="inlineStr">
        <is>
          <t>tasks_without_due_date</t>
        </is>
      </c>
      <c r="D46" s="31" t="inlineStr">
        <is>
          <t>Which open tasks have no due date?</t>
        </is>
      </c>
      <c r="E46" s="31" t="inlineStr">
        <is>
          <t>Show pending tasks missing deadlines.</t>
        </is>
      </c>
      <c r="F46" s="31" t="inlineStr">
        <is>
          <t>List tasks without a due date.</t>
        </is>
      </c>
      <c r="G46" s="31" t="inlineStr">
        <is>
          <t>project_scope</t>
        </is>
      </c>
      <c r="H46" s="34" t="inlineStr">
        <is>
          <t>Derived</t>
        </is>
      </c>
      <c r="I46" s="31" t="inlineStr">
        <is>
          <t>tasks; task status</t>
        </is>
      </c>
      <c r="J46" s="35" t="inlineStr">
        <is>
          <t>Pending business rule</t>
        </is>
      </c>
      <c r="K46" s="31" t="inlineStr">
        <is>
          <t>Define open statuses.</t>
        </is>
      </c>
      <c r="L46" s="31" t="inlineStr">
        <is>
          <t>FAQ Tool Call Binding</t>
        </is>
      </c>
    </row>
    <row r="47">
      <c r="A47" s="29" t="n">
        <v>46</v>
      </c>
      <c r="B47" s="30" t="inlineStr">
        <is>
          <t>Tasks</t>
        </is>
      </c>
      <c r="C47" s="31" t="inlineStr">
        <is>
          <t>task_progress</t>
        </is>
      </c>
      <c r="D47" s="31" t="inlineStr">
        <is>
          <t>What is the completion percentage of task :task_reference?</t>
        </is>
      </c>
      <c r="E47" s="31" t="inlineStr">
        <is>
          <t>Show progress for :task_reference.</t>
        </is>
      </c>
      <c r="F47" s="31" t="inlineStr">
        <is>
          <t>How complete is :task_reference?</t>
        </is>
      </c>
      <c r="G47" s="31" t="inlineStr">
        <is>
          <t>task_reference</t>
        </is>
      </c>
      <c r="H47" s="32" t="inlineStr">
        <is>
          <t>Direct</t>
        </is>
      </c>
      <c r="I47" s="31" t="inlineStr">
        <is>
          <t>tbl_project_tasks.percent_complete</t>
        </is>
      </c>
      <c r="J47" s="33" t="inlineStr">
        <is>
          <t>Pending SQL mapping</t>
        </is>
      </c>
      <c r="K47" s="31" t="inlineStr">
        <is>
          <t>Validate scale 0–100.</t>
        </is>
      </c>
      <c r="L47" s="31" t="inlineStr">
        <is>
          <t>FAQ Tool Call Binding</t>
        </is>
      </c>
    </row>
    <row r="48">
      <c r="A48" s="29" t="n">
        <v>47</v>
      </c>
      <c r="B48" s="30" t="inlineStr">
        <is>
          <t>Tasks</t>
        </is>
      </c>
      <c r="C48" s="31" t="inlineStr">
        <is>
          <t>task_estimate_vs_actual</t>
        </is>
      </c>
      <c r="D48" s="31" t="inlineStr">
        <is>
          <t>Compare estimate and actual hours for task :task_reference.</t>
        </is>
      </c>
      <c r="E48" s="31" t="inlineStr">
        <is>
          <t>Show planned versus actual effort for :task_reference.</t>
        </is>
      </c>
      <c r="F48" s="31" t="inlineStr">
        <is>
          <t>Is :task_reference over its estimate?</t>
        </is>
      </c>
      <c r="G48" s="31" t="inlineStr">
        <is>
          <t>task_reference</t>
        </is>
      </c>
      <c r="H48" s="32" t="inlineStr">
        <is>
          <t>Direct</t>
        </is>
      </c>
      <c r="I48" s="31" t="inlineStr">
        <is>
          <t>tbl_project_tasks.estimate; actual_hours</t>
        </is>
      </c>
      <c r="J48" s="33" t="inlineStr">
        <is>
          <t>Pending SQL mapping</t>
        </is>
      </c>
      <c r="K48" s="31" t="inlineStr">
        <is>
          <t>Confirm units.</t>
        </is>
      </c>
      <c r="L48" s="31" t="inlineStr">
        <is>
          <t>FAQ Tool Call Binding</t>
        </is>
      </c>
    </row>
    <row r="49">
      <c r="A49" s="29" t="n">
        <v>48</v>
      </c>
      <c r="B49" s="30" t="inlineStr">
        <is>
          <t>Tasks</t>
        </is>
      </c>
      <c r="C49" s="31" t="inlineStr">
        <is>
          <t>tasks_over_estimate</t>
        </is>
      </c>
      <c r="D49" s="31" t="inlineStr">
        <is>
          <t>Which tasks have exceeded their estimated hours?</t>
        </is>
      </c>
      <c r="E49" s="31" t="inlineStr">
        <is>
          <t>Show tasks where actual hours are above estimate.</t>
        </is>
      </c>
      <c r="F49" s="31" t="inlineStr">
        <is>
          <t>List effort-overrun tasks.</t>
        </is>
      </c>
      <c r="G49" s="31" t="inlineStr">
        <is>
          <t>project_scope</t>
        </is>
      </c>
      <c r="H49" s="34" t="inlineStr">
        <is>
          <t>Derived</t>
        </is>
      </c>
      <c r="I49" s="31" t="inlineStr">
        <is>
          <t>tbl_project_tasks.estimate; actual_hours</t>
        </is>
      </c>
      <c r="J49" s="33" t="inlineStr">
        <is>
          <t>Pending SQL mapping</t>
        </is>
      </c>
      <c r="K49" s="31" t="inlineStr">
        <is>
          <t>Null/zero estimate handling.</t>
        </is>
      </c>
      <c r="L49" s="31" t="inlineStr">
        <is>
          <t>FAQ Tool Call Binding</t>
        </is>
      </c>
    </row>
    <row r="50">
      <c r="A50" s="29" t="n">
        <v>49</v>
      </c>
      <c r="B50" s="30" t="inlineStr">
        <is>
          <t>Tasks</t>
        </is>
      </c>
      <c r="C50" s="31" t="inlineStr">
        <is>
          <t>recently_updated_tasks</t>
        </is>
      </c>
      <c r="D50" s="31" t="inlineStr">
        <is>
          <t>Which tasks were updated in the last :days days?</t>
        </is>
      </c>
      <c r="E50" s="31" t="inlineStr">
        <is>
          <t>Show recently changed tasks.</t>
        </is>
      </c>
      <c r="F50" s="31" t="inlineStr">
        <is>
          <t>List tasks updated recently.</t>
        </is>
      </c>
      <c r="G50" s="31" t="inlineStr">
        <is>
          <t>days</t>
        </is>
      </c>
      <c r="H50" s="32" t="inlineStr">
        <is>
          <t>Direct</t>
        </is>
      </c>
      <c r="I50" s="31" t="inlineStr">
        <is>
          <t>tbl_project_tasks.update_date</t>
        </is>
      </c>
      <c r="J50" s="33" t="inlineStr">
        <is>
          <t>Pending SQL mapping</t>
        </is>
      </c>
      <c r="K50" s="31" t="inlineStr">
        <is>
          <t>Visibility scope required.</t>
        </is>
      </c>
      <c r="L50" s="31" t="inlineStr">
        <is>
          <t>FAQ Tool Call Binding</t>
        </is>
      </c>
    </row>
    <row r="51">
      <c r="A51" s="29" t="n">
        <v>50</v>
      </c>
      <c r="B51" s="30" t="inlineStr">
        <is>
          <t>Tasks</t>
        </is>
      </c>
      <c r="C51" s="31" t="inlineStr">
        <is>
          <t>stale_open_tasks</t>
        </is>
      </c>
      <c r="D51" s="31" t="inlineStr">
        <is>
          <t>Which open tasks have not been updated in :days days?</t>
        </is>
      </c>
      <c r="E51" s="31" t="inlineStr">
        <is>
          <t>Show stale pending tasks.</t>
        </is>
      </c>
      <c r="F51" s="31" t="inlineStr">
        <is>
          <t>List inactive open tasks.</t>
        </is>
      </c>
      <c r="G51" s="31" t="inlineStr">
        <is>
          <t>days</t>
        </is>
      </c>
      <c r="H51" s="34" t="inlineStr">
        <is>
          <t>Derived</t>
        </is>
      </c>
      <c r="I51" s="31" t="inlineStr">
        <is>
          <t>tasks; task status</t>
        </is>
      </c>
      <c r="J51" s="35" t="inlineStr">
        <is>
          <t>Pending business rule</t>
        </is>
      </c>
      <c r="K51" s="31" t="inlineStr">
        <is>
          <t>Define open statuses.</t>
        </is>
      </c>
      <c r="L51" s="31" t="inlineStr">
        <is>
          <t>FAQ Tool Call Binding</t>
        </is>
      </c>
    </row>
    <row r="52">
      <c r="A52" s="29" t="n">
        <v>51</v>
      </c>
      <c r="B52" s="30" t="inlineStr">
        <is>
          <t>Tasks</t>
        </is>
      </c>
      <c r="C52" s="31" t="inlineStr">
        <is>
          <t>task_status_counts</t>
        </is>
      </c>
      <c r="D52" s="31" t="inlineStr">
        <is>
          <t>Show task counts by status for :project_name.</t>
        </is>
      </c>
      <c r="E52" s="31" t="inlineStr">
        <is>
          <t>Summarize tasks by workflow status for :project_name.</t>
        </is>
      </c>
      <c r="F52" s="31" t="inlineStr">
        <is>
          <t>How many tasks are in each status for :project_name?</t>
        </is>
      </c>
      <c r="G52" s="31" t="inlineStr">
        <is>
          <t>project_name</t>
        </is>
      </c>
      <c r="H52" s="32" t="inlineStr">
        <is>
          <t>Direct</t>
        </is>
      </c>
      <c r="I52" s="31" t="inlineStr">
        <is>
          <t>tasks; task status</t>
        </is>
      </c>
      <c r="J52" s="33" t="inlineStr">
        <is>
          <t>Pending SQL mapping</t>
        </is>
      </c>
      <c r="K52" s="31" t="inlineStr">
        <is>
          <t>Lookup data required.</t>
        </is>
      </c>
      <c r="L52" s="31" t="inlineStr">
        <is>
          <t>FAQ Tool Call Binding</t>
        </is>
      </c>
    </row>
    <row r="53">
      <c r="A53" s="29" t="n">
        <v>52</v>
      </c>
      <c r="B53" s="30" t="inlineStr">
        <is>
          <t>Tasks</t>
        </is>
      </c>
      <c r="C53" s="31" t="inlineStr">
        <is>
          <t>task_workload_by_user</t>
        </is>
      </c>
      <c r="D53" s="31" t="inlineStr">
        <is>
          <t>Show task workload by user for :project_name.</t>
        </is>
      </c>
      <c r="E53" s="31" t="inlineStr">
        <is>
          <t>How many tasks does each person have on :project_name?</t>
        </is>
      </c>
      <c r="F53" s="31" t="inlineStr">
        <is>
          <t>Summarize assigned tasks by team member.</t>
        </is>
      </c>
      <c r="G53" s="31" t="inlineStr">
        <is>
          <t>project_name</t>
        </is>
      </c>
      <c r="H53" s="34" t="inlineStr">
        <is>
          <t>Derived</t>
        </is>
      </c>
      <c r="I53" s="31" t="inlineStr">
        <is>
          <t>tasks; task users; users</t>
        </is>
      </c>
      <c r="J53" s="35" t="inlineStr">
        <is>
          <t>Pending business rule</t>
        </is>
      </c>
      <c r="K53" s="31" t="inlineStr">
        <is>
          <t>Define whether workload means count, estimate, or allocation percentage.</t>
        </is>
      </c>
      <c r="L53" s="31" t="inlineStr">
        <is>
          <t>FAQ Tool Call Binding</t>
        </is>
      </c>
    </row>
    <row r="54">
      <c r="A54" s="29" t="n">
        <v>53</v>
      </c>
      <c r="B54" s="30" t="inlineStr">
        <is>
          <t>Timesheets</t>
        </is>
      </c>
      <c r="C54" s="31" t="inlineStr">
        <is>
          <t>my_logged_hours_today</t>
        </is>
      </c>
      <c r="D54" s="31" t="inlineStr">
        <is>
          <t>How many hours did I log today?</t>
        </is>
      </c>
      <c r="E54" s="31" t="inlineStr">
        <is>
          <t>Show my time entries for today.</t>
        </is>
      </c>
      <c r="F54" s="31" t="inlineStr">
        <is>
          <t>What is my total logged time today?</t>
        </is>
      </c>
      <c r="G54" s="31" t="inlineStr">
        <is>
          <t>current_user, current_date</t>
        </is>
      </c>
      <c r="H54" s="32" t="inlineStr">
        <is>
          <t>Direct</t>
        </is>
      </c>
      <c r="I54" s="31" t="inlineStr">
        <is>
          <t>tbl_timesheets</t>
        </is>
      </c>
      <c r="J54" s="33" t="inlineStr">
        <is>
          <t>Pending SQL mapping</t>
        </is>
      </c>
      <c r="K54" s="31" t="inlineStr">
        <is>
          <t>Combine hours and minutes.</t>
        </is>
      </c>
      <c r="L54" s="31" t="inlineStr">
        <is>
          <t>FAQ Tool Call Binding</t>
        </is>
      </c>
    </row>
    <row r="55">
      <c r="A55" s="29" t="n">
        <v>54</v>
      </c>
      <c r="B55" s="30" t="inlineStr">
        <is>
          <t>Timesheets</t>
        </is>
      </c>
      <c r="C55" s="31" t="inlineStr">
        <is>
          <t>my_logged_hours_period</t>
        </is>
      </c>
      <c r="D55" s="31" t="inlineStr">
        <is>
          <t>How many hours did I log between :start_date and :end_date?</t>
        </is>
      </c>
      <c r="E55" s="31" t="inlineStr">
        <is>
          <t>Show my logged time for the selected period.</t>
        </is>
      </c>
      <c r="F55" s="31" t="inlineStr">
        <is>
          <t>Total my timesheet hours for the period.</t>
        </is>
      </c>
      <c r="G55" s="31" t="inlineStr">
        <is>
          <t>current_user, start_date, end_date</t>
        </is>
      </c>
      <c r="H55" s="32" t="inlineStr">
        <is>
          <t>Direct</t>
        </is>
      </c>
      <c r="I55" s="31" t="inlineStr">
        <is>
          <t>tbl_timesheets</t>
        </is>
      </c>
      <c r="J55" s="33" t="inlineStr">
        <is>
          <t>Pending SQL mapping</t>
        </is>
      </c>
      <c r="K55" s="31" t="inlineStr">
        <is>
          <t>Combine hours and minutes.</t>
        </is>
      </c>
      <c r="L55" s="31" t="inlineStr">
        <is>
          <t>FAQ Tool Call Binding</t>
        </is>
      </c>
    </row>
    <row r="56">
      <c r="A56" s="29" t="n">
        <v>55</v>
      </c>
      <c r="B56" s="30" t="inlineStr">
        <is>
          <t>Timesheets</t>
        </is>
      </c>
      <c r="C56" s="31" t="inlineStr">
        <is>
          <t>employee_logged_hours</t>
        </is>
      </c>
      <c r="D56" s="31" t="inlineStr">
        <is>
          <t>Show hours logged by :employee_name between :start_date and :end_date.</t>
        </is>
      </c>
      <c r="E56" s="31" t="inlineStr">
        <is>
          <t>How much time did :employee_name record?</t>
        </is>
      </c>
      <c r="F56" s="31" t="inlineStr">
        <is>
          <t>List :employee_name’s timesheet total.</t>
        </is>
      </c>
      <c r="G56" s="31" t="inlineStr">
        <is>
          <t>employee_name, start_date, end_date</t>
        </is>
      </c>
      <c r="H56" s="32" t="inlineStr">
        <is>
          <t>Direct</t>
        </is>
      </c>
      <c r="I56" s="31" t="inlineStr">
        <is>
          <t>tbl_timesheets; tbl_users</t>
        </is>
      </c>
      <c r="J56" s="33" t="inlineStr">
        <is>
          <t>Pending SQL mapping</t>
        </is>
      </c>
      <c r="K56" s="31" t="inlineStr">
        <is>
          <t>RBAC needed for manager access.</t>
        </is>
      </c>
      <c r="L56" s="31" t="inlineStr">
        <is>
          <t>FAQ Tool Call Binding</t>
        </is>
      </c>
    </row>
    <row r="57">
      <c r="A57" s="29" t="n">
        <v>56</v>
      </c>
      <c r="B57" s="30" t="inlineStr">
        <is>
          <t>Timesheets</t>
        </is>
      </c>
      <c r="C57" s="31" t="inlineStr">
        <is>
          <t>project_logged_hours</t>
        </is>
      </c>
      <c r="D57" s="31" t="inlineStr">
        <is>
          <t>How many hours were logged on :project_name between :start_date and :end_date?</t>
        </is>
      </c>
      <c r="E57" s="31" t="inlineStr">
        <is>
          <t>Show total project time for the period.</t>
        </is>
      </c>
      <c r="F57" s="31" t="inlineStr">
        <is>
          <t>What is the booked effort on :project_name?</t>
        </is>
      </c>
      <c r="G57" s="31" t="inlineStr">
        <is>
          <t>project_name, start_date, end_date</t>
        </is>
      </c>
      <c r="H57" s="32" t="inlineStr">
        <is>
          <t>Direct</t>
        </is>
      </c>
      <c r="I57" s="31" t="inlineStr">
        <is>
          <t>tbl_timesheets; tasks; projects</t>
        </is>
      </c>
      <c r="J57" s="33" t="inlineStr">
        <is>
          <t>Pending SQL mapping</t>
        </is>
      </c>
      <c r="K57" s="31" t="inlineStr">
        <is>
          <t>Timesheet links to project through task.</t>
        </is>
      </c>
      <c r="L57" s="31" t="inlineStr">
        <is>
          <t>FAQ Tool Call Binding</t>
        </is>
      </c>
    </row>
    <row r="58">
      <c r="A58" s="29" t="n">
        <v>57</v>
      </c>
      <c r="B58" s="30" t="inlineStr">
        <is>
          <t>Timesheets</t>
        </is>
      </c>
      <c r="C58" s="31" t="inlineStr">
        <is>
          <t>project_hours_by_user</t>
        </is>
      </c>
      <c r="D58" s="31" t="inlineStr">
        <is>
          <t>Show hours by user for :project_name.</t>
        </is>
      </c>
      <c r="E58" s="31" t="inlineStr">
        <is>
          <t>Who logged how much time on :project_name?</t>
        </is>
      </c>
      <c r="F58" s="31" t="inlineStr">
        <is>
          <t>Break down project hours by team member.</t>
        </is>
      </c>
      <c r="G58" s="31" t="inlineStr">
        <is>
          <t>project_name, start_date, end_date</t>
        </is>
      </c>
      <c r="H58" s="32" t="inlineStr">
        <is>
          <t>Direct</t>
        </is>
      </c>
      <c r="I58" s="31" t="inlineStr">
        <is>
          <t>timesheets; tasks; users</t>
        </is>
      </c>
      <c r="J58" s="33" t="inlineStr">
        <is>
          <t>Pending SQL mapping</t>
        </is>
      </c>
      <c r="K58" s="31" t="inlineStr">
        <is>
          <t>Date period should be mandatory or defaulted.</t>
        </is>
      </c>
      <c r="L58" s="31" t="inlineStr">
        <is>
          <t>FAQ Tool Call Binding</t>
        </is>
      </c>
    </row>
    <row r="59">
      <c r="A59" s="29" t="n">
        <v>58</v>
      </c>
      <c r="B59" s="30" t="inlineStr">
        <is>
          <t>Timesheets</t>
        </is>
      </c>
      <c r="C59" s="31" t="inlineStr">
        <is>
          <t>hours_by_task</t>
        </is>
      </c>
      <c r="D59" s="31" t="inlineStr">
        <is>
          <t>How many hours were logged against task :task_reference?</t>
        </is>
      </c>
      <c r="E59" s="31" t="inlineStr">
        <is>
          <t>Show booked time for :task_reference.</t>
        </is>
      </c>
      <c r="F59" s="31" t="inlineStr">
        <is>
          <t>What is the total effort recorded on :task_reference?</t>
        </is>
      </c>
      <c r="G59" s="31" t="inlineStr">
        <is>
          <t>task_reference, start_date, end_date</t>
        </is>
      </c>
      <c r="H59" s="32" t="inlineStr">
        <is>
          <t>Direct</t>
        </is>
      </c>
      <c r="I59" s="31" t="inlineStr">
        <is>
          <t>tbl_timesheets; tasks</t>
        </is>
      </c>
      <c r="J59" s="33" t="inlineStr">
        <is>
          <t>Pending SQL mapping</t>
        </is>
      </c>
      <c r="K59" s="31" t="inlineStr">
        <is>
          <t>Combine hours and minutes.</t>
        </is>
      </c>
      <c r="L59" s="31" t="inlineStr">
        <is>
          <t>FAQ Tool Call Binding</t>
        </is>
      </c>
    </row>
    <row r="60">
      <c r="A60" s="29" t="n">
        <v>59</v>
      </c>
      <c r="B60" s="30" t="inlineStr">
        <is>
          <t>Timesheets</t>
        </is>
      </c>
      <c r="C60" s="31" t="inlineStr">
        <is>
          <t>timesheet_entries_by_task_type</t>
        </is>
      </c>
      <c r="D60" s="31" t="inlineStr">
        <is>
          <t>Show logged hours by project task type.</t>
        </is>
      </c>
      <c r="E60" s="31" t="inlineStr">
        <is>
          <t>Break down timesheet hours by task type.</t>
        </is>
      </c>
      <c r="F60" s="31" t="inlineStr">
        <is>
          <t>How much time was recorded for each task type?</t>
        </is>
      </c>
      <c r="G60" s="31" t="inlineStr">
        <is>
          <t>start_date, end_date</t>
        </is>
      </c>
      <c r="H60" s="35" t="inlineStr">
        <is>
          <t>Partial</t>
        </is>
      </c>
      <c r="I60" s="31" t="inlineStr">
        <is>
          <t>tbl_timesheets.project_task_type_id</t>
        </is>
      </c>
      <c r="J60" s="35" t="inlineStr">
        <is>
          <t>Needs lookup-table identification</t>
        </is>
      </c>
      <c r="K60" s="31" t="inlineStr">
        <is>
          <t>Task-type reference table must be confirmed.</t>
        </is>
      </c>
      <c r="L60" s="31" t="inlineStr">
        <is>
          <t>FAQ Tool Call Binding</t>
        </is>
      </c>
    </row>
    <row r="61">
      <c r="A61" s="29" t="n">
        <v>60</v>
      </c>
      <c r="B61" s="30" t="inlineStr">
        <is>
          <t>Timesheets</t>
        </is>
      </c>
      <c r="C61" s="31" t="inlineStr">
        <is>
          <t>users_without_time_entries</t>
        </is>
      </c>
      <c r="D61" s="31" t="inlineStr">
        <is>
          <t>Who has no timesheet entries for :date?</t>
        </is>
      </c>
      <c r="E61" s="31" t="inlineStr">
        <is>
          <t>Show users who did not log time on :date.</t>
        </is>
      </c>
      <c r="F61" s="31" t="inlineStr">
        <is>
          <t>List missing time entries for :date.</t>
        </is>
      </c>
      <c r="G61" s="31" t="inlineStr">
        <is>
          <t>date, population_scope</t>
        </is>
      </c>
      <c r="H61" s="34" t="inlineStr">
        <is>
          <t>Derived</t>
        </is>
      </c>
      <c r="I61" s="31" t="inlineStr">
        <is>
          <t>tbl_users; tbl_timesheets</t>
        </is>
      </c>
      <c r="J61" s="35" t="inlineStr">
        <is>
          <t>Pending business rule</t>
        </is>
      </c>
      <c r="K61" s="31" t="inlineStr">
        <is>
          <t>Define expected population, working days, leave, and active users.</t>
        </is>
      </c>
      <c r="L61" s="31" t="inlineStr">
        <is>
          <t>FAQ Tool Call Binding</t>
        </is>
      </c>
    </row>
    <row r="62">
      <c r="A62" s="29" t="n">
        <v>61</v>
      </c>
      <c r="B62" s="30" t="inlineStr">
        <is>
          <t>Timesheets</t>
        </is>
      </c>
      <c r="C62" s="31" t="inlineStr">
        <is>
          <t>daily_hours_above_threshold</t>
        </is>
      </c>
      <c r="D62" s="31" t="inlineStr">
        <is>
          <t>Who logged more than :hours_threshold hours on :date?</t>
        </is>
      </c>
      <c r="E62" s="31" t="inlineStr">
        <is>
          <t>Show high-hour timesheet entries.</t>
        </is>
      </c>
      <c r="F62" s="31" t="inlineStr">
        <is>
          <t>List users exceeding the daily-hours threshold.</t>
        </is>
      </c>
      <c r="G62" s="31" t="inlineStr">
        <is>
          <t>date, hours_threshold</t>
        </is>
      </c>
      <c r="H62" s="34" t="inlineStr">
        <is>
          <t>Derived</t>
        </is>
      </c>
      <c r="I62" s="31" t="inlineStr">
        <is>
          <t>tbl_timesheets; users</t>
        </is>
      </c>
      <c r="J62" s="33" t="inlineStr">
        <is>
          <t>Pending SQL mapping</t>
        </is>
      </c>
      <c r="K62" s="31" t="inlineStr">
        <is>
          <t>Threshold supplied at runtime.</t>
        </is>
      </c>
      <c r="L62" s="31" t="inlineStr">
        <is>
          <t>FAQ Tool Call Binding</t>
        </is>
      </c>
    </row>
    <row r="63">
      <c r="A63" s="29" t="n">
        <v>62</v>
      </c>
      <c r="B63" s="30" t="inlineStr">
        <is>
          <t>Timesheets</t>
        </is>
      </c>
      <c r="C63" s="31" t="inlineStr">
        <is>
          <t>project_hours_vs_task_actual</t>
        </is>
      </c>
      <c r="D63" s="31" t="inlineStr">
        <is>
          <t>Compare timesheet hours with task actual hours for :project_name.</t>
        </is>
      </c>
      <c r="E63" s="31" t="inlineStr">
        <is>
          <t>Show discrepancies between booked time and task actual hours.</t>
        </is>
      </c>
      <c r="F63" s="31" t="inlineStr">
        <is>
          <t>Do task actuals match timesheet totals?</t>
        </is>
      </c>
      <c r="G63" s="31" t="inlineStr">
        <is>
          <t>project_name</t>
        </is>
      </c>
      <c r="H63" s="34" t="inlineStr">
        <is>
          <t>Derived</t>
        </is>
      </c>
      <c r="I63" s="31" t="inlineStr">
        <is>
          <t>tbl_timesheets; tbl_project_tasks.actual_hours</t>
        </is>
      </c>
      <c r="J63" s="35" t="inlineStr">
        <is>
          <t>Needs reconciliation rule</t>
        </is>
      </c>
      <c r="K63" s="31" t="inlineStr">
        <is>
          <t>Clarify whether actual_hours is system-calculated or manually maintained.</t>
        </is>
      </c>
      <c r="L63" s="31" t="inlineStr">
        <is>
          <t>FAQ Tool Call Binding</t>
        </is>
      </c>
    </row>
    <row r="64">
      <c r="A64" s="29" t="n">
        <v>63</v>
      </c>
      <c r="B64" s="30" t="inlineStr">
        <is>
          <t>Timesheets</t>
        </is>
      </c>
      <c r="C64" s="31" t="inlineStr">
        <is>
          <t>timesheet_approval_status</t>
        </is>
      </c>
      <c r="D64" s="31" t="inlineStr">
        <is>
          <t>What is the approval status of my timesheet?</t>
        </is>
      </c>
      <c r="E64" s="31" t="inlineStr">
        <is>
          <t>Show whether my timesheet is approved.</t>
        </is>
      </c>
      <c r="F64" s="31" t="inlineStr">
        <is>
          <t>Are my time entries pending approval?</t>
        </is>
      </c>
      <c r="G64" s="31" t="inlineStr">
        <is>
          <t>current_user, period</t>
        </is>
      </c>
      <c r="H64" s="36" t="inlineStr">
        <is>
          <t>Not supported directly</t>
        </is>
      </c>
      <c r="I64" s="31" t="inlineStr">
        <is>
          <t>tbl_timesheets</t>
        </is>
      </c>
      <c r="J64" s="35" t="inlineStr">
        <is>
          <t>Needs product clarification</t>
        </is>
      </c>
      <c r="K64" s="31" t="inlineStr">
        <is>
          <t>No approval/status field is present in tbl_timesheets.</t>
        </is>
      </c>
      <c r="L64" s="31" t="inlineStr">
        <is>
          <t>FAQ Tool Call Binding</t>
        </is>
      </c>
    </row>
    <row r="65">
      <c r="A65" s="29" t="n">
        <v>64</v>
      </c>
      <c r="B65" s="30" t="inlineStr">
        <is>
          <t>Timesheets</t>
        </is>
      </c>
      <c r="C65" s="31" t="inlineStr">
        <is>
          <t>rejected_timesheets</t>
        </is>
      </c>
      <c r="D65" s="31" t="inlineStr">
        <is>
          <t>Which timesheets were rejected?</t>
        </is>
      </c>
      <c r="E65" s="31" t="inlineStr">
        <is>
          <t>Show rejected time entries.</t>
        </is>
      </c>
      <c r="F65" s="31" t="inlineStr">
        <is>
          <t>List declined timesheets.</t>
        </is>
      </c>
      <c r="G65" s="31" t="inlineStr">
        <is>
          <t>period</t>
        </is>
      </c>
      <c r="H65" s="36" t="inlineStr">
        <is>
          <t>Not supported directly</t>
        </is>
      </c>
      <c r="I65" s="31" t="inlineStr">
        <is>
          <t>tbl_timesheets</t>
        </is>
      </c>
      <c r="J65" s="35" t="inlineStr">
        <is>
          <t>Needs product clarification</t>
        </is>
      </c>
      <c r="K65" s="31" t="inlineStr">
        <is>
          <t>No rejection field or workflow table identified.</t>
        </is>
      </c>
      <c r="L65" s="31" t="inlineStr">
        <is>
          <t>FAQ Tool Call Binding</t>
        </is>
      </c>
    </row>
    <row r="66">
      <c r="A66" s="29" t="n">
        <v>65</v>
      </c>
      <c r="B66" s="30" t="inlineStr">
        <is>
          <t>Resources</t>
        </is>
      </c>
      <c r="C66" s="31" t="inlineStr">
        <is>
          <t>my_project_allocations</t>
        </is>
      </c>
      <c r="D66" s="31" t="inlineStr">
        <is>
          <t>What projects am I allocated to?</t>
        </is>
      </c>
      <c r="E66" s="31" t="inlineStr">
        <is>
          <t>Show my current project allocations.</t>
        </is>
      </c>
      <c r="F66" s="31" t="inlineStr">
        <is>
          <t>List projects where I am a member.</t>
        </is>
      </c>
      <c r="G66" s="31" t="inlineStr">
        <is>
          <t>current_user, as_of_date</t>
        </is>
      </c>
      <c r="H66" s="32" t="inlineStr">
        <is>
          <t>Direct</t>
        </is>
      </c>
      <c r="I66" s="31" t="inlineStr">
        <is>
          <t>tbl_project_users; projects</t>
        </is>
      </c>
      <c r="J66" s="33" t="inlineStr">
        <is>
          <t>Pending SQL mapping</t>
        </is>
      </c>
      <c r="K66" s="31" t="inlineStr">
        <is>
          <t>Use allocation dates and active status.</t>
        </is>
      </c>
      <c r="L66" s="31" t="inlineStr">
        <is>
          <t>FAQ Tool Call Binding</t>
        </is>
      </c>
    </row>
    <row r="67">
      <c r="A67" s="29" t="n">
        <v>66</v>
      </c>
      <c r="B67" s="30" t="inlineStr">
        <is>
          <t>Resources</t>
        </is>
      </c>
      <c r="C67" s="31" t="inlineStr">
        <is>
          <t>employee_allocations</t>
        </is>
      </c>
      <c r="D67" s="31" t="inlineStr">
        <is>
          <t>Show allocations for :employee_name.</t>
        </is>
      </c>
      <c r="E67" s="31" t="inlineStr">
        <is>
          <t>Which projects is :employee_name allocated to?</t>
        </is>
      </c>
      <c r="F67" s="31" t="inlineStr">
        <is>
          <t>List :employee_name’s project assignments.</t>
        </is>
      </c>
      <c r="G67" s="31" t="inlineStr">
        <is>
          <t>employee_name, as_of_date</t>
        </is>
      </c>
      <c r="H67" s="32" t="inlineStr">
        <is>
          <t>Direct</t>
        </is>
      </c>
      <c r="I67" s="31" t="inlineStr">
        <is>
          <t>tbl_project_users; users; projects</t>
        </is>
      </c>
      <c r="J67" s="33" t="inlineStr">
        <is>
          <t>Pending SQL mapping</t>
        </is>
      </c>
      <c r="K67" s="31" t="inlineStr">
        <is>
          <t>RBAC required.</t>
        </is>
      </c>
      <c r="L67" s="31" t="inlineStr">
        <is>
          <t>FAQ Tool Call Binding</t>
        </is>
      </c>
    </row>
    <row r="68">
      <c r="A68" s="29" t="n">
        <v>67</v>
      </c>
      <c r="B68" s="30" t="inlineStr">
        <is>
          <t>Resources</t>
        </is>
      </c>
      <c r="C68" s="31" t="inlineStr">
        <is>
          <t>project_team</t>
        </is>
      </c>
      <c r="D68" s="31" t="inlineStr">
        <is>
          <t>Who is allocated to :project_name?</t>
        </is>
      </c>
      <c r="E68" s="31" t="inlineStr">
        <is>
          <t>Show the team of :project_name.</t>
        </is>
      </c>
      <c r="F68" s="31" t="inlineStr">
        <is>
          <t>List project members for :project_name.</t>
        </is>
      </c>
      <c r="G68" s="31" t="inlineStr">
        <is>
          <t>project_name</t>
        </is>
      </c>
      <c r="H68" s="32" t="inlineStr">
        <is>
          <t>Direct</t>
        </is>
      </c>
      <c r="I68" s="31" t="inlineStr">
        <is>
          <t>tbl_project_users; users</t>
        </is>
      </c>
      <c r="J68" s="33" t="inlineStr">
        <is>
          <t>Pending SQL mapping</t>
        </is>
      </c>
      <c r="K68" s="31" t="inlineStr">
        <is>
          <t>Filter active allocation and request status.</t>
        </is>
      </c>
      <c r="L68" s="31" t="inlineStr">
        <is>
          <t>FAQ Tool Call Binding</t>
        </is>
      </c>
    </row>
    <row r="69">
      <c r="A69" s="29" t="n">
        <v>68</v>
      </c>
      <c r="B69" s="30" t="inlineStr">
        <is>
          <t>Resources</t>
        </is>
      </c>
      <c r="C69" s="31" t="inlineStr">
        <is>
          <t>project_allocated_hours</t>
        </is>
      </c>
      <c r="D69" s="31" t="inlineStr">
        <is>
          <t>Show allocated hours by user for :project_name.</t>
        </is>
      </c>
      <c r="E69" s="31" t="inlineStr">
        <is>
          <t>How many hours is each user allocated to :project_name?</t>
        </is>
      </c>
      <c r="F69" s="31" t="inlineStr">
        <is>
          <t>List resource allocation hours for :project_name.</t>
        </is>
      </c>
      <c r="G69" s="31" t="inlineStr">
        <is>
          <t>project_name</t>
        </is>
      </c>
      <c r="H69" s="32" t="inlineStr">
        <is>
          <t>Direct</t>
        </is>
      </c>
      <c r="I69" s="31" t="inlineStr">
        <is>
          <t>tbl_project_users.allocation_hrs</t>
        </is>
      </c>
      <c r="J69" s="33" t="inlineStr">
        <is>
          <t>Pending SQL mapping</t>
        </is>
      </c>
      <c r="K69" s="31" t="inlineStr">
        <is>
          <t>Confirm allocation_hrs period basis.</t>
        </is>
      </c>
      <c r="L69" s="31" t="inlineStr">
        <is>
          <t>FAQ Tool Call Binding</t>
        </is>
      </c>
    </row>
    <row r="70">
      <c r="A70" s="29" t="n">
        <v>69</v>
      </c>
      <c r="B70" s="30" t="inlineStr">
        <is>
          <t>Resources</t>
        </is>
      </c>
      <c r="C70" s="31" t="inlineStr">
        <is>
          <t>allocations_ending_soon</t>
        </is>
      </c>
      <c r="D70" s="31" t="inlineStr">
        <is>
          <t>Whose project allocation ends in the next :days days?</t>
        </is>
      </c>
      <c r="E70" s="31" t="inlineStr">
        <is>
          <t>Show allocations ending soon.</t>
        </is>
      </c>
      <c r="F70" s="31" t="inlineStr">
        <is>
          <t>List users rolling off projects soon.</t>
        </is>
      </c>
      <c r="G70" s="31" t="inlineStr">
        <is>
          <t>days</t>
        </is>
      </c>
      <c r="H70" s="32" t="inlineStr">
        <is>
          <t>Direct</t>
        </is>
      </c>
      <c r="I70" s="31" t="inlineStr">
        <is>
          <t>tbl_project_users.allocation_to</t>
        </is>
      </c>
      <c r="J70" s="33" t="inlineStr">
        <is>
          <t>Pending SQL mapping</t>
        </is>
      </c>
      <c r="K70" s="31" t="inlineStr">
        <is>
          <t>Active allocation filter required.</t>
        </is>
      </c>
      <c r="L70" s="31" t="inlineStr">
        <is>
          <t>FAQ Tool Call Binding</t>
        </is>
      </c>
    </row>
    <row r="71">
      <c r="A71" s="29" t="n">
        <v>70</v>
      </c>
      <c r="B71" s="30" t="inlineStr">
        <is>
          <t>Resources</t>
        </is>
      </c>
      <c r="C71" s="31" t="inlineStr">
        <is>
          <t>allocations_starting_soon</t>
        </is>
      </c>
      <c r="D71" s="31" t="inlineStr">
        <is>
          <t>Whose project allocation starts in the next :days days?</t>
        </is>
      </c>
      <c r="E71" s="31" t="inlineStr">
        <is>
          <t>Show upcoming allocations.</t>
        </is>
      </c>
      <c r="F71" s="31" t="inlineStr">
        <is>
          <t>List users joining projects soon.</t>
        </is>
      </c>
      <c r="G71" s="31" t="inlineStr">
        <is>
          <t>days</t>
        </is>
      </c>
      <c r="H71" s="32" t="inlineStr">
        <is>
          <t>Direct</t>
        </is>
      </c>
      <c r="I71" s="31" t="inlineStr">
        <is>
          <t>tbl_project_users.allocation_from</t>
        </is>
      </c>
      <c r="J71" s="33" t="inlineStr">
        <is>
          <t>Pending SQL mapping</t>
        </is>
      </c>
      <c r="K71" s="31" t="inlineStr">
        <is>
          <t>Active/request status filter required.</t>
        </is>
      </c>
      <c r="L71" s="31" t="inlineStr">
        <is>
          <t>FAQ Tool Call Binding</t>
        </is>
      </c>
    </row>
    <row r="72">
      <c r="A72" s="29" t="n">
        <v>71</v>
      </c>
      <c r="B72" s="30" t="inlineStr">
        <is>
          <t>Resources</t>
        </is>
      </c>
      <c r="C72" s="31" t="inlineStr">
        <is>
          <t>resources_by_department</t>
        </is>
      </c>
      <c r="D72" s="31" t="inlineStr">
        <is>
          <t>Show active users in department :department_name.</t>
        </is>
      </c>
      <c r="E72" s="31" t="inlineStr">
        <is>
          <t>List department resources.</t>
        </is>
      </c>
      <c r="F72" s="31" t="inlineStr">
        <is>
          <t>Who belongs to :department_name?</t>
        </is>
      </c>
      <c r="G72" s="31" t="inlineStr">
        <is>
          <t>department_name</t>
        </is>
      </c>
      <c r="H72" s="35" t="inlineStr">
        <is>
          <t>Partial</t>
        </is>
      </c>
      <c r="I72" s="31" t="inlineStr">
        <is>
          <t>tbl_users; department relationships</t>
        </is>
      </c>
      <c r="J72" s="35" t="inlineStr">
        <is>
          <t>Needs user-department mapping confirmation</t>
        </is>
      </c>
      <c r="K72" s="31" t="inlineStr">
        <is>
          <t>tbl_users does not expose a direct department_id in visible columns.</t>
        </is>
      </c>
      <c r="L72" s="31" t="inlineStr">
        <is>
          <t>FAQ Tool Call Binding</t>
        </is>
      </c>
    </row>
    <row r="73">
      <c r="A73" s="29" t="n">
        <v>72</v>
      </c>
      <c r="B73" s="30" t="inlineStr">
        <is>
          <t>Resources</t>
        </is>
      </c>
      <c r="C73" s="31" t="inlineStr">
        <is>
          <t>resources_by_team</t>
        </is>
      </c>
      <c r="D73" s="31" t="inlineStr">
        <is>
          <t>Show active users in team :team_name.</t>
        </is>
      </c>
      <c r="E73" s="31" t="inlineStr">
        <is>
          <t>List users in :team_name.</t>
        </is>
      </c>
      <c r="F73" s="31" t="inlineStr">
        <is>
          <t>Who belongs to :team_name?</t>
        </is>
      </c>
      <c r="G73" s="31" t="inlineStr">
        <is>
          <t>team_name</t>
        </is>
      </c>
      <c r="H73" s="35" t="inlineStr">
        <is>
          <t>Partial</t>
        </is>
      </c>
      <c r="I73" s="31" t="inlineStr">
        <is>
          <t>tbl_project_team; project users; users</t>
        </is>
      </c>
      <c r="J73" s="35" t="inlineStr">
        <is>
          <t>Needs membership-source confirmation</t>
        </is>
      </c>
      <c r="K73" s="31" t="inlineStr">
        <is>
          <t>No direct team-user table identified in PMS subset.</t>
        </is>
      </c>
      <c r="L73" s="31" t="inlineStr">
        <is>
          <t>FAQ Tool Call Binding</t>
        </is>
      </c>
    </row>
    <row r="74">
      <c r="A74" s="29" t="n">
        <v>73</v>
      </c>
      <c r="B74" s="30" t="inlineStr">
        <is>
          <t>Resources</t>
        </is>
      </c>
      <c r="C74" s="31" t="inlineStr">
        <is>
          <t>resource_skills</t>
        </is>
      </c>
      <c r="D74" s="31" t="inlineStr">
        <is>
          <t>What skills does :employee_name have?</t>
        </is>
      </c>
      <c r="E74" s="31" t="inlineStr">
        <is>
          <t>Show :employee_name’s recorded skills.</t>
        </is>
      </c>
      <c r="F74" s="31" t="inlineStr">
        <is>
          <t>List skills for :employee_name.</t>
        </is>
      </c>
      <c r="G74" s="31" t="inlineStr">
        <is>
          <t>employee_name</t>
        </is>
      </c>
      <c r="H74" s="32" t="inlineStr">
        <is>
          <t>Direct</t>
        </is>
      </c>
      <c r="I74" s="31" t="inlineStr">
        <is>
          <t>tbl_user_skills; skill master to identify</t>
        </is>
      </c>
      <c r="J74" s="35" t="inlineStr">
        <is>
          <t>Needs skill-master identification</t>
        </is>
      </c>
      <c r="K74" s="31" t="inlineStr">
        <is>
          <t>Skill reference table must be located/confirmed.</t>
        </is>
      </c>
      <c r="L74" s="31" t="inlineStr">
        <is>
          <t>FAQ Tool Call Binding</t>
        </is>
      </c>
    </row>
    <row r="75">
      <c r="A75" s="29" t="n">
        <v>74</v>
      </c>
      <c r="B75" s="30" t="inlineStr">
        <is>
          <t>Resources</t>
        </is>
      </c>
      <c r="C75" s="31" t="inlineStr">
        <is>
          <t>available_by_skill</t>
        </is>
      </c>
      <c r="D75" s="31" t="inlineStr">
        <is>
          <t>Who with skill :skill_name is available between :start_date and :end_date?</t>
        </is>
      </c>
      <c r="E75" s="31" t="inlineStr">
        <is>
          <t>Find resources with :skill_name and no overlapping allocation.</t>
        </is>
      </c>
      <c r="F75" s="31" t="inlineStr">
        <is>
          <t>Show available :skill_name resources.</t>
        </is>
      </c>
      <c r="G75" s="31" t="inlineStr">
        <is>
          <t>skill_name, start_date, end_date</t>
        </is>
      </c>
      <c r="H75" s="34" t="inlineStr">
        <is>
          <t>Derived</t>
        </is>
      </c>
      <c r="I75" s="31" t="inlineStr">
        <is>
          <t>tbl_user_skills; tbl_project_users</t>
        </is>
      </c>
      <c r="J75" s="35" t="inlineStr">
        <is>
          <t>Pending business rule</t>
        </is>
      </c>
      <c r="K75" s="31" t="inlineStr">
        <is>
          <t>Define availability and allocation capacity.</t>
        </is>
      </c>
      <c r="L75" s="31" t="inlineStr">
        <is>
          <t>FAQ Tool Call Binding</t>
        </is>
      </c>
    </row>
    <row r="76">
      <c r="A76" s="29" t="n">
        <v>75</v>
      </c>
      <c r="B76" s="30" t="inlineStr">
        <is>
          <t>Resources</t>
        </is>
      </c>
      <c r="C76" s="31" t="inlineStr">
        <is>
          <t>overlapping_allocations</t>
        </is>
      </c>
      <c r="D76" s="31" t="inlineStr">
        <is>
          <t>Which users have overlapping project allocations?</t>
        </is>
      </c>
      <c r="E76" s="31" t="inlineStr">
        <is>
          <t>Show resource allocation conflicts.</t>
        </is>
      </c>
      <c r="F76" s="31" t="inlineStr">
        <is>
          <t>List people assigned to overlapping project periods.</t>
        </is>
      </c>
      <c r="G76" s="31" t="inlineStr">
        <is>
          <t>date_range</t>
        </is>
      </c>
      <c r="H76" s="34" t="inlineStr">
        <is>
          <t>Derived</t>
        </is>
      </c>
      <c r="I76" s="31" t="inlineStr">
        <is>
          <t>tbl_project_users</t>
        </is>
      </c>
      <c r="J76" s="33" t="inlineStr">
        <is>
          <t>Pending SQL mapping</t>
        </is>
      </c>
      <c r="K76" s="31" t="inlineStr">
        <is>
          <t>Does not prove overallocation unless hours/capacity are defined.</t>
        </is>
      </c>
      <c r="L76" s="31" t="inlineStr">
        <is>
          <t>FAQ Tool Call Binding</t>
        </is>
      </c>
    </row>
    <row r="77">
      <c r="A77" s="29" t="n">
        <v>76</v>
      </c>
      <c r="B77" s="30" t="inlineStr">
        <is>
          <t>Resources</t>
        </is>
      </c>
      <c r="C77" s="31" t="inlineStr">
        <is>
          <t>project_roles</t>
        </is>
      </c>
      <c r="D77" s="31" t="inlineStr">
        <is>
          <t>Show project roles for :project_name.</t>
        </is>
      </c>
      <c r="E77" s="31" t="inlineStr">
        <is>
          <t>List users and role IDs on :project_name.</t>
        </is>
      </c>
      <c r="F77" s="31" t="inlineStr">
        <is>
          <t>Who has which role on :project_name?</t>
        </is>
      </c>
      <c r="G77" s="31" t="inlineStr">
        <is>
          <t>project_name</t>
        </is>
      </c>
      <c r="H77" s="32" t="inlineStr">
        <is>
          <t>Direct</t>
        </is>
      </c>
      <c r="I77" s="31" t="inlineStr">
        <is>
          <t>tbl_project_users.role_id; role master</t>
        </is>
      </c>
      <c r="J77" s="35" t="inlineStr">
        <is>
          <t>Needs role-master identification</t>
        </is>
      </c>
      <c r="K77" s="31" t="inlineStr">
        <is>
          <t>Role labels require lookup table.</t>
        </is>
      </c>
      <c r="L77" s="31" t="inlineStr">
        <is>
          <t>FAQ Tool Call Binding</t>
        </is>
      </c>
    </row>
    <row r="78">
      <c r="A78" s="29" t="n">
        <v>77</v>
      </c>
      <c r="B78" s="30" t="inlineStr">
        <is>
          <t>Resources</t>
        </is>
      </c>
      <c r="C78" s="31" t="inlineStr">
        <is>
          <t>project_access_types</t>
        </is>
      </c>
      <c r="D78" s="31" t="inlineStr">
        <is>
          <t>Show access types for users on :project_name.</t>
        </is>
      </c>
      <c r="E78" s="31" t="inlineStr">
        <is>
          <t>Who has what access on :project_name?</t>
        </is>
      </c>
      <c r="F78" s="31" t="inlineStr">
        <is>
          <t>List project membership access levels.</t>
        </is>
      </c>
      <c r="G78" s="31" t="inlineStr">
        <is>
          <t>project_name</t>
        </is>
      </c>
      <c r="H78" s="32" t="inlineStr">
        <is>
          <t>Direct</t>
        </is>
      </c>
      <c r="I78" s="31" t="inlineStr">
        <is>
          <t>tbl_project_users.access_type</t>
        </is>
      </c>
      <c r="J78" s="35" t="inlineStr">
        <is>
          <t>Needs value-definition confirmation</t>
        </is>
      </c>
      <c r="K78" s="31" t="inlineStr">
        <is>
          <t>Enumerated values not available in schema.</t>
        </is>
      </c>
      <c r="L78" s="31" t="inlineStr">
        <is>
          <t>FAQ Tool Call Binding</t>
        </is>
      </c>
    </row>
    <row r="79">
      <c r="A79" s="29" t="n">
        <v>78</v>
      </c>
      <c r="B79" s="30" t="inlineStr">
        <is>
          <t>Resources</t>
        </is>
      </c>
      <c r="C79" s="31" t="inlineStr">
        <is>
          <t>bench_resources</t>
        </is>
      </c>
      <c r="D79" s="31" t="inlineStr">
        <is>
          <t>Who is currently on the bench?</t>
        </is>
      </c>
      <c r="E79" s="31" t="inlineStr">
        <is>
          <t>Show users with no active project allocation.</t>
        </is>
      </c>
      <c r="F79" s="31" t="inlineStr">
        <is>
          <t>List unallocated active resources.</t>
        </is>
      </c>
      <c r="G79" s="31" t="inlineStr">
        <is>
          <t>as_of_date, population_scope</t>
        </is>
      </c>
      <c r="H79" s="34" t="inlineStr">
        <is>
          <t>Derived</t>
        </is>
      </c>
      <c r="I79" s="31" t="inlineStr">
        <is>
          <t>tbl_users; tbl_project_users</t>
        </is>
      </c>
      <c r="J79" s="35" t="inlineStr">
        <is>
          <t>Pending business rule</t>
        </is>
      </c>
      <c r="K79" s="31" t="inlineStr">
        <is>
          <t>Define active employee population and whether no allocation means bench.</t>
        </is>
      </c>
      <c r="L79" s="31" t="inlineStr">
        <is>
          <t>FAQ Tool Call Binding</t>
        </is>
      </c>
    </row>
    <row r="80">
      <c r="A80" s="29" t="n">
        <v>79</v>
      </c>
      <c r="B80" s="30" t="inlineStr">
        <is>
          <t>Utilization</t>
        </is>
      </c>
      <c r="C80" s="31" t="inlineStr">
        <is>
          <t>allocation_utilization_user</t>
        </is>
      </c>
      <c r="D80" s="31" t="inlineStr">
        <is>
          <t>What is :employee_name’s allocation utilization for :period?</t>
        </is>
      </c>
      <c r="E80" s="31" t="inlineStr">
        <is>
          <t>Show allocated hours versus capacity for :employee_name.</t>
        </is>
      </c>
      <c r="F80" s="31" t="inlineStr">
        <is>
          <t>How utilized is :employee_name based on allocations?</t>
        </is>
      </c>
      <c r="G80" s="31" t="inlineStr">
        <is>
          <t>employee_name, period</t>
        </is>
      </c>
      <c r="H80" s="35" t="inlineStr">
        <is>
          <t>Partial</t>
        </is>
      </c>
      <c r="I80" s="31" t="inlineStr">
        <is>
          <t>tbl_project_users.allocation_hrs</t>
        </is>
      </c>
      <c r="J80" s="35" t="inlineStr">
        <is>
          <t>Needs utilization formula</t>
        </is>
      </c>
      <c r="K80" s="31" t="inlineStr">
        <is>
          <t>Capacity/working-hour calendar is not defined.</t>
        </is>
      </c>
      <c r="L80" s="31" t="inlineStr">
        <is>
          <t>FAQ Tool Call Binding</t>
        </is>
      </c>
    </row>
    <row r="81">
      <c r="A81" s="29" t="n">
        <v>80</v>
      </c>
      <c r="B81" s="30" t="inlineStr">
        <is>
          <t>Utilization</t>
        </is>
      </c>
      <c r="C81" s="31" t="inlineStr">
        <is>
          <t>timesheet_utilization_user</t>
        </is>
      </c>
      <c r="D81" s="31" t="inlineStr">
        <is>
          <t>What is :employee_name’s timesheet utilization for :period?</t>
        </is>
      </c>
      <c r="E81" s="31" t="inlineStr">
        <is>
          <t>Show logged hours versus available hours for :employee_name.</t>
        </is>
      </c>
      <c r="F81" s="31" t="inlineStr">
        <is>
          <t>How utilized is :employee_name based on timesheets?</t>
        </is>
      </c>
      <c r="G81" s="31" t="inlineStr">
        <is>
          <t>employee_name, period</t>
        </is>
      </c>
      <c r="H81" s="35" t="inlineStr">
        <is>
          <t>Partial</t>
        </is>
      </c>
      <c r="I81" s="31" t="inlineStr">
        <is>
          <t>tbl_timesheets</t>
        </is>
      </c>
      <c r="J81" s="35" t="inlineStr">
        <is>
          <t>Needs utilization formula</t>
        </is>
      </c>
      <c r="K81" s="31" t="inlineStr">
        <is>
          <t>Working hours and leave calendar required.</t>
        </is>
      </c>
      <c r="L81" s="31" t="inlineStr">
        <is>
          <t>FAQ Tool Call Binding</t>
        </is>
      </c>
    </row>
    <row r="82">
      <c r="A82" s="29" t="n">
        <v>81</v>
      </c>
      <c r="B82" s="30" t="inlineStr">
        <is>
          <t>Utilization</t>
        </is>
      </c>
      <c r="C82" s="31" t="inlineStr">
        <is>
          <t>project_resource_utilization</t>
        </is>
      </c>
      <c r="D82" s="31" t="inlineStr">
        <is>
          <t>Show utilization of resources on :project_name.</t>
        </is>
      </c>
      <c r="E82" s="31" t="inlineStr">
        <is>
          <t>How utilized is the team on :project_name?</t>
        </is>
      </c>
      <c r="F82" s="31" t="inlineStr">
        <is>
          <t>List project utilization by member.</t>
        </is>
      </c>
      <c r="G82" s="31" t="inlineStr">
        <is>
          <t>project_name, period</t>
        </is>
      </c>
      <c r="H82" s="35" t="inlineStr">
        <is>
          <t>Partial</t>
        </is>
      </c>
      <c r="I82" s="31" t="inlineStr">
        <is>
          <t>project users; timesheets; tasks</t>
        </is>
      </c>
      <c r="J82" s="35" t="inlineStr">
        <is>
          <t>Needs utilization formula</t>
        </is>
      </c>
      <c r="K82" s="31" t="inlineStr">
        <is>
          <t>Choose allocation-based or timesheet-based method.</t>
        </is>
      </c>
      <c r="L82" s="31" t="inlineStr">
        <is>
          <t>FAQ Tool Call Binding</t>
        </is>
      </c>
    </row>
    <row r="83">
      <c r="A83" s="29" t="n">
        <v>82</v>
      </c>
      <c r="B83" s="30" t="inlineStr">
        <is>
          <t>Utilization</t>
        </is>
      </c>
      <c r="C83" s="31" t="inlineStr">
        <is>
          <t>low_utilization_users</t>
        </is>
      </c>
      <c r="D83" s="31" t="inlineStr">
        <is>
          <t>Who is below :threshold_percent utilization in :period?</t>
        </is>
      </c>
      <c r="E83" s="31" t="inlineStr">
        <is>
          <t>Show underutilized resources.</t>
        </is>
      </c>
      <c r="F83" s="31" t="inlineStr">
        <is>
          <t>List users below the utilization threshold.</t>
        </is>
      </c>
      <c r="G83" s="31" t="inlineStr">
        <is>
          <t>threshold_percent, period</t>
        </is>
      </c>
      <c r="H83" s="35" t="inlineStr">
        <is>
          <t>Partial</t>
        </is>
      </c>
      <c r="I83" s="31" t="inlineStr">
        <is>
          <t>project users; timesheets</t>
        </is>
      </c>
      <c r="J83" s="35" t="inlineStr">
        <is>
          <t>Needs utilization formula</t>
        </is>
      </c>
      <c r="K83" s="31" t="inlineStr">
        <is>
          <t>Capacity and population rules required.</t>
        </is>
      </c>
      <c r="L83" s="31" t="inlineStr">
        <is>
          <t>FAQ Tool Call Binding</t>
        </is>
      </c>
    </row>
    <row r="84">
      <c r="A84" s="29" t="n">
        <v>83</v>
      </c>
      <c r="B84" s="30" t="inlineStr">
        <is>
          <t>Utilization</t>
        </is>
      </c>
      <c r="C84" s="31" t="inlineStr">
        <is>
          <t>high_utilization_users</t>
        </is>
      </c>
      <c r="D84" s="31" t="inlineStr">
        <is>
          <t>Who is above :threshold_percent utilization in :period?</t>
        </is>
      </c>
      <c r="E84" s="31" t="inlineStr">
        <is>
          <t>Show highly utilized resources.</t>
        </is>
      </c>
      <c r="F84" s="31" t="inlineStr">
        <is>
          <t>List users over the utilization threshold.</t>
        </is>
      </c>
      <c r="G84" s="31" t="inlineStr">
        <is>
          <t>threshold_percent, period</t>
        </is>
      </c>
      <c r="H84" s="35" t="inlineStr">
        <is>
          <t>Partial</t>
        </is>
      </c>
      <c r="I84" s="31" t="inlineStr">
        <is>
          <t>project users; timesheets</t>
        </is>
      </c>
      <c r="J84" s="35" t="inlineStr">
        <is>
          <t>Needs utilization formula</t>
        </is>
      </c>
      <c r="K84" s="31" t="inlineStr">
        <is>
          <t>Capacity and overtime rules required.</t>
        </is>
      </c>
      <c r="L84" s="31" t="inlineStr">
        <is>
          <t>FAQ Tool Call Binding</t>
        </is>
      </c>
    </row>
    <row r="85">
      <c r="A85" s="29" t="n">
        <v>84</v>
      </c>
      <c r="B85" s="30" t="inlineStr">
        <is>
          <t>Utilization</t>
        </is>
      </c>
      <c r="C85" s="31" t="inlineStr">
        <is>
          <t>allocation_conflicts</t>
        </is>
      </c>
      <c r="D85" s="31" t="inlineStr">
        <is>
          <t>Who has allocations exceeding available capacity?</t>
        </is>
      </c>
      <c r="E85" s="31" t="inlineStr">
        <is>
          <t>Show overallocated users.</t>
        </is>
      </c>
      <c r="F85" s="31" t="inlineStr">
        <is>
          <t>List resource capacity conflicts.</t>
        </is>
      </c>
      <c r="G85" s="31" t="inlineStr">
        <is>
          <t>period</t>
        </is>
      </c>
      <c r="H85" s="35" t="inlineStr">
        <is>
          <t>Partial</t>
        </is>
      </c>
      <c r="I85" s="31" t="inlineStr">
        <is>
          <t>tbl_project_users.allocation_hrs</t>
        </is>
      </c>
      <c r="J85" s="35" t="inlineStr">
        <is>
          <t>Needs capacity definition</t>
        </is>
      </c>
      <c r="K85" s="31" t="inlineStr">
        <is>
          <t>Allocation hours period basis must be known.</t>
        </is>
      </c>
      <c r="L85" s="31" t="inlineStr">
        <is>
          <t>FAQ Tool Call Binding</t>
        </is>
      </c>
    </row>
    <row r="86">
      <c r="A86" s="29" t="n">
        <v>85</v>
      </c>
      <c r="B86" s="30" t="inlineStr">
        <is>
          <t>Utilization</t>
        </is>
      </c>
      <c r="C86" s="31" t="inlineStr">
        <is>
          <t>idle_capacity</t>
        </is>
      </c>
      <c r="D86" s="31" t="inlineStr">
        <is>
          <t>How much idle capacity is available in :period?</t>
        </is>
      </c>
      <c r="E86" s="31" t="inlineStr">
        <is>
          <t>Show unused resource capacity.</t>
        </is>
      </c>
      <c r="F86" s="31" t="inlineStr">
        <is>
          <t>What capacity remains unallocated?</t>
        </is>
      </c>
      <c r="G86" s="31" t="inlineStr">
        <is>
          <t>period, population_scope</t>
        </is>
      </c>
      <c r="H86" s="35" t="inlineStr">
        <is>
          <t>Partial</t>
        </is>
      </c>
      <c r="I86" s="31" t="inlineStr">
        <is>
          <t>project users; users</t>
        </is>
      </c>
      <c r="J86" s="35" t="inlineStr">
        <is>
          <t>Needs capacity definition</t>
        </is>
      </c>
      <c r="K86" s="31" t="inlineStr">
        <is>
          <t>Requires working calendar and eligible population.</t>
        </is>
      </c>
      <c r="L86" s="31" t="inlineStr">
        <is>
          <t>FAQ Tool Call Binding</t>
        </is>
      </c>
    </row>
    <row r="87">
      <c r="A87" s="29" t="n">
        <v>86</v>
      </c>
      <c r="B87" s="30" t="inlineStr">
        <is>
          <t>Utilization</t>
        </is>
      </c>
      <c r="C87" s="31" t="inlineStr">
        <is>
          <t>utilization_by_role</t>
        </is>
      </c>
      <c r="D87" s="31" t="inlineStr">
        <is>
          <t>Show utilization by project role for :period.</t>
        </is>
      </c>
      <c r="E87" s="31" t="inlineStr">
        <is>
          <t>Compare resource utilization across roles.</t>
        </is>
      </c>
      <c r="F87" s="31" t="inlineStr">
        <is>
          <t>What is utilization by role?</t>
        </is>
      </c>
      <c r="G87" s="31" t="inlineStr">
        <is>
          <t>period</t>
        </is>
      </c>
      <c r="H87" s="35" t="inlineStr">
        <is>
          <t>Partial</t>
        </is>
      </c>
      <c r="I87" s="31" t="inlineStr">
        <is>
          <t>project users.role_id; timesheets</t>
        </is>
      </c>
      <c r="J87" s="35" t="inlineStr">
        <is>
          <t>Needs formula and role lookup</t>
        </is>
      </c>
      <c r="K87" s="31" t="inlineStr">
        <is>
          <t>Role master and capacity formula required.</t>
        </is>
      </c>
      <c r="L87" s="31" t="inlineStr">
        <is>
          <t>FAQ Tool Call Binding</t>
        </is>
      </c>
    </row>
    <row r="88">
      <c r="A88" s="29" t="n">
        <v>87</v>
      </c>
      <c r="B88" s="30" t="inlineStr">
        <is>
          <t>Utilization</t>
        </is>
      </c>
      <c r="C88" s="31" t="inlineStr">
        <is>
          <t>utilization_by_department</t>
        </is>
      </c>
      <c r="D88" s="31" t="inlineStr">
        <is>
          <t>Show utilization for department :department_name in :period.</t>
        </is>
      </c>
      <c r="E88" s="31" t="inlineStr">
        <is>
          <t>How utilized is :department_name?</t>
        </is>
      </c>
      <c r="F88" s="31" t="inlineStr">
        <is>
          <t>Give department utilization.</t>
        </is>
      </c>
      <c r="G88" s="31" t="inlineStr">
        <is>
          <t>department_name, period</t>
        </is>
      </c>
      <c r="H88" s="35" t="inlineStr">
        <is>
          <t>Partial</t>
        </is>
      </c>
      <c r="I88" s="31" t="inlineStr">
        <is>
          <t>users; project users; timesheets</t>
        </is>
      </c>
      <c r="J88" s="35" t="inlineStr">
        <is>
          <t>Needs department mapping and formula</t>
        </is>
      </c>
      <c r="K88" s="31" t="inlineStr">
        <is>
          <t>User-department mapping must be confirmed.</t>
        </is>
      </c>
      <c r="L88" s="31" t="inlineStr">
        <is>
          <t>FAQ Tool Call Binding</t>
        </is>
      </c>
    </row>
    <row r="89">
      <c r="A89" s="29" t="n">
        <v>88</v>
      </c>
      <c r="B89" s="30" t="inlineStr">
        <is>
          <t>Utilization</t>
        </is>
      </c>
      <c r="C89" s="31" t="inlineStr">
        <is>
          <t>forecast_utilization</t>
        </is>
      </c>
      <c r="D89" s="31" t="inlineStr">
        <is>
          <t>What is forecast utilization for :future_period?</t>
        </is>
      </c>
      <c r="E89" s="31" t="inlineStr">
        <is>
          <t>Show expected resource utilization next month.</t>
        </is>
      </c>
      <c r="F89" s="31" t="inlineStr">
        <is>
          <t>Forecast allocation-based utilization.</t>
        </is>
      </c>
      <c r="G89" s="31" t="inlineStr">
        <is>
          <t>future_period</t>
        </is>
      </c>
      <c r="H89" s="35" t="inlineStr">
        <is>
          <t>Partial</t>
        </is>
      </c>
      <c r="I89" s="31" t="inlineStr">
        <is>
          <t>tbl_project_users allocation dates/hours</t>
        </is>
      </c>
      <c r="J89" s="35" t="inlineStr">
        <is>
          <t>Needs forecast formula</t>
        </is>
      </c>
      <c r="K89" s="31" t="inlineStr">
        <is>
          <t>Only allocation-based forecast appears possible from schema.</t>
        </is>
      </c>
      <c r="L89" s="31" t="inlineStr">
        <is>
          <t>FAQ Tool Call Binding</t>
        </is>
      </c>
    </row>
    <row r="90">
      <c r="A90" s="29" t="n">
        <v>89</v>
      </c>
      <c r="B90" s="30" t="inlineStr">
        <is>
          <t>Estimation &amp; Financials</t>
        </is>
      </c>
      <c r="C90" s="31" t="inlineStr">
        <is>
          <t>project_estimate</t>
        </is>
      </c>
      <c r="D90" s="31" t="inlineStr">
        <is>
          <t>What is the estimate for :project_name?</t>
        </is>
      </c>
      <c r="E90" s="31" t="inlineStr">
        <is>
          <t>Show the project estimate value.</t>
        </is>
      </c>
      <c r="F90" s="31" t="inlineStr">
        <is>
          <t>How much effort is estimated for :project_name?</t>
        </is>
      </c>
      <c r="G90" s="31" t="inlineStr">
        <is>
          <t>project_name</t>
        </is>
      </c>
      <c r="H90" s="32" t="inlineStr">
        <is>
          <t>Direct</t>
        </is>
      </c>
      <c r="I90" s="31" t="inlineStr">
        <is>
          <t>tbl_projects.estimate</t>
        </is>
      </c>
      <c r="J90" s="35" t="inlineStr">
        <is>
          <t>Needs unit confirmation</t>
        </is>
      </c>
      <c r="K90" s="31" t="inlineStr">
        <is>
          <t>Confirm whether estimate is hours, days, or cost.</t>
        </is>
      </c>
      <c r="L90" s="31" t="inlineStr">
        <is>
          <t>FAQ Tool Call Binding</t>
        </is>
      </c>
    </row>
    <row r="91">
      <c r="A91" s="29" t="n">
        <v>90</v>
      </c>
      <c r="B91" s="30" t="inlineStr">
        <is>
          <t>Estimation &amp; Financials</t>
        </is>
      </c>
      <c r="C91" s="31" t="inlineStr">
        <is>
          <t>project_hours_summary</t>
        </is>
      </c>
      <c r="D91" s="31" t="inlineStr">
        <is>
          <t>Show total booked and chargeable hours for :project_name.</t>
        </is>
      </c>
      <c r="E91" s="31" t="inlineStr">
        <is>
          <t>What are the booked versus chargeable hours?</t>
        </is>
      </c>
      <c r="F91" s="31" t="inlineStr">
        <is>
          <t>Summarize project hour totals.</t>
        </is>
      </c>
      <c r="G91" s="31" t="inlineStr">
        <is>
          <t>project_name</t>
        </is>
      </c>
      <c r="H91" s="32" t="inlineStr">
        <is>
          <t>Direct</t>
        </is>
      </c>
      <c r="I91" s="31" t="inlineStr">
        <is>
          <t>tbl_projects.total_hours_booked; total_chargable_hours</t>
        </is>
      </c>
      <c r="J91" s="33" t="inlineStr">
        <is>
          <t>Pending SQL mapping</t>
        </is>
      </c>
      <c r="K91" s="31" t="inlineStr">
        <is>
          <t>Confirm refresh/source logic.</t>
        </is>
      </c>
      <c r="L91" s="31" t="inlineStr">
        <is>
          <t>FAQ Tool Call Binding</t>
        </is>
      </c>
    </row>
    <row r="92">
      <c r="A92" s="29" t="n">
        <v>91</v>
      </c>
      <c r="B92" s="30" t="inlineStr">
        <is>
          <t>Estimation &amp; Financials</t>
        </is>
      </c>
      <c r="C92" s="31" t="inlineStr">
        <is>
          <t>project_grant_hours</t>
        </is>
      </c>
      <c r="D92" s="31" t="inlineStr">
        <is>
          <t>How many grant hours does :project_name have?</t>
        </is>
      </c>
      <c r="E92" s="31" t="inlineStr">
        <is>
          <t>Show available grant hours.</t>
        </is>
      </c>
      <c r="F92" s="31" t="inlineStr">
        <is>
          <t>What are the granted hours for :project_name?</t>
        </is>
      </c>
      <c r="G92" s="31" t="inlineStr">
        <is>
          <t>project_name</t>
        </is>
      </c>
      <c r="H92" s="35" t="inlineStr">
        <is>
          <t>Partial</t>
        </is>
      </c>
      <c r="I92" s="31" t="inlineStr">
        <is>
          <t>tbl_projects archive/backup grant_hours</t>
        </is>
      </c>
      <c r="J92" s="35" t="inlineStr">
        <is>
          <t>Needs current-column confirmation</t>
        </is>
      </c>
      <c r="K92" s="31" t="inlineStr">
        <is>
          <t>grant_hours was visible in archive/backup; confirm current tbl_projects column.</t>
        </is>
      </c>
      <c r="L92" s="31" t="inlineStr">
        <is>
          <t>FAQ Tool Call Binding</t>
        </is>
      </c>
    </row>
    <row r="93">
      <c r="A93" s="29" t="n">
        <v>92</v>
      </c>
      <c r="B93" s="30" t="inlineStr">
        <is>
          <t>Estimation &amp; Financials</t>
        </is>
      </c>
      <c r="C93" s="31" t="inlineStr">
        <is>
          <t>project_deal_value</t>
        </is>
      </c>
      <c r="D93" s="31" t="inlineStr">
        <is>
          <t>What is the deal value of :project_name?</t>
        </is>
      </c>
      <c r="E93" s="31" t="inlineStr">
        <is>
          <t>Show the commercial value of :project_name.</t>
        </is>
      </c>
      <c r="F93" s="31" t="inlineStr">
        <is>
          <t>What value is recorded for :project_name?</t>
        </is>
      </c>
      <c r="G93" s="31" t="inlineStr">
        <is>
          <t>project_name</t>
        </is>
      </c>
      <c r="H93" s="35" t="inlineStr">
        <is>
          <t>Partial</t>
        </is>
      </c>
      <c r="I93" s="31" t="inlineStr">
        <is>
          <t>tbl_projects.deal_value</t>
        </is>
      </c>
      <c r="J93" s="35" t="inlineStr">
        <is>
          <t>Needs currency/access confirmation</t>
        </is>
      </c>
      <c r="K93" s="31" t="inlineStr">
        <is>
          <t>Confirm currency and financial RBAC.</t>
        </is>
      </c>
      <c r="L93" s="31" t="inlineStr">
        <is>
          <t>FAQ Tool Call Binding</t>
        </is>
      </c>
    </row>
    <row r="94">
      <c r="A94" s="29" t="n">
        <v>93</v>
      </c>
      <c r="B94" s="30" t="inlineStr">
        <is>
          <t>Estimation &amp; Financials</t>
        </is>
      </c>
      <c r="C94" s="31" t="inlineStr">
        <is>
          <t>project_estimation_versions</t>
        </is>
      </c>
      <c r="D94" s="31" t="inlineStr">
        <is>
          <t>Show estimation versions for :project_name.</t>
        </is>
      </c>
      <c r="E94" s="31" t="inlineStr">
        <is>
          <t>List all estimates created for :project_name.</t>
        </is>
      </c>
      <c r="F94" s="31" t="inlineStr">
        <is>
          <t>What estimation revisions exist?</t>
        </is>
      </c>
      <c r="G94" s="31" t="inlineStr">
        <is>
          <t>project_name</t>
        </is>
      </c>
      <c r="H94" s="32" t="inlineStr">
        <is>
          <t>Direct</t>
        </is>
      </c>
      <c r="I94" s="31" t="inlineStr">
        <is>
          <t>tbl_project_estimation</t>
        </is>
      </c>
      <c r="J94" s="33" t="inlineStr">
        <is>
          <t>Pending SQL mapping</t>
        </is>
      </c>
      <c r="K94" s="31" t="inlineStr">
        <is>
          <t>Use version and status.</t>
        </is>
      </c>
      <c r="L94" s="31" t="inlineStr">
        <is>
          <t>FAQ Tool Call Binding</t>
        </is>
      </c>
    </row>
    <row r="95">
      <c r="A95" s="29" t="n">
        <v>94</v>
      </c>
      <c r="B95" s="30" t="inlineStr">
        <is>
          <t>Estimation &amp; Financials</t>
        </is>
      </c>
      <c r="C95" s="31" t="inlineStr">
        <is>
          <t>project_estimation_status</t>
        </is>
      </c>
      <c r="D95" s="31" t="inlineStr">
        <is>
          <t>What is the estimation status for :project_name?</t>
        </is>
      </c>
      <c r="E95" s="31" t="inlineStr">
        <is>
          <t>Show whether the estimate is under review or approved.</t>
        </is>
      </c>
      <c r="F95" s="31" t="inlineStr">
        <is>
          <t>What stage is the project estimation in?</t>
        </is>
      </c>
      <c r="G95" s="31" t="inlineStr">
        <is>
          <t>project_name</t>
        </is>
      </c>
      <c r="H95" s="32" t="inlineStr">
        <is>
          <t>Direct</t>
        </is>
      </c>
      <c r="I95" s="31" t="inlineStr">
        <is>
          <t>tbl_project_estimation; estimation status</t>
        </is>
      </c>
      <c r="J95" s="33" t="inlineStr">
        <is>
          <t>Pending SQL mapping</t>
        </is>
      </c>
      <c r="K95" s="31" t="inlineStr">
        <is>
          <t>Lookup values required.</t>
        </is>
      </c>
      <c r="L95" s="31" t="inlineStr">
        <is>
          <t>FAQ Tool Call Binding</t>
        </is>
      </c>
    </row>
    <row r="96">
      <c r="A96" s="29" t="n">
        <v>95</v>
      </c>
      <c r="B96" s="30" t="inlineStr">
        <is>
          <t>Estimation &amp; Financials</t>
        </is>
      </c>
      <c r="C96" s="31" t="inlineStr">
        <is>
          <t>estimation_summary</t>
        </is>
      </c>
      <c r="D96" s="31" t="inlineStr">
        <is>
          <t>Show the detailed estimation summary for :project_name.</t>
        </is>
      </c>
      <c r="E96" s="31" t="inlineStr">
        <is>
          <t>Break down design, development, QA, UAT, and support effort.</t>
        </is>
      </c>
      <c r="F96" s="31" t="inlineStr">
        <is>
          <t>Give me the estimate components for :project_name.</t>
        </is>
      </c>
      <c r="G96" s="31" t="inlineStr">
        <is>
          <t>project_name, version</t>
        </is>
      </c>
      <c r="H96" s="32" t="inlineStr">
        <is>
          <t>Direct</t>
        </is>
      </c>
      <c r="I96" s="31" t="inlineStr">
        <is>
          <t>tbl_estimation_summary; tbl_project_estimation</t>
        </is>
      </c>
      <c r="J96" s="33" t="inlineStr">
        <is>
          <t>Pending SQL mapping</t>
        </is>
      </c>
      <c r="K96" s="31" t="inlineStr">
        <is>
          <t>Field labels should be validated with business.</t>
        </is>
      </c>
      <c r="L96" s="31" t="inlineStr">
        <is>
          <t>FAQ Tool Call Binding</t>
        </is>
      </c>
    </row>
    <row r="97">
      <c r="A97" s="29" t="n">
        <v>96</v>
      </c>
      <c r="B97" s="30" t="inlineStr">
        <is>
          <t>Estimation &amp; Financials</t>
        </is>
      </c>
      <c r="C97" s="31" t="inlineStr">
        <is>
          <t>estimation_assumptions</t>
        </is>
      </c>
      <c r="D97" s="31" t="inlineStr">
        <is>
          <t>Show estimation assumptions for :project_name.</t>
        </is>
      </c>
      <c r="E97" s="31" t="inlineStr">
        <is>
          <t>What assumptions were used in the estimate?</t>
        </is>
      </c>
      <c r="F97" s="31" t="inlineStr">
        <is>
          <t>List assumptions for the selected estimation.</t>
        </is>
      </c>
      <c r="G97" s="31" t="inlineStr">
        <is>
          <t>project_name, version</t>
        </is>
      </c>
      <c r="H97" s="32" t="inlineStr">
        <is>
          <t>Direct</t>
        </is>
      </c>
      <c r="I97" s="31" t="inlineStr">
        <is>
          <t>tbl_estimation_asumption; project estimation</t>
        </is>
      </c>
      <c r="J97" s="33" t="inlineStr">
        <is>
          <t>Pending SQL mapping</t>
        </is>
      </c>
      <c r="K97" s="31" t="inlineStr">
        <is>
          <t>Spelling follows actual table name.</t>
        </is>
      </c>
      <c r="L97" s="31" t="inlineStr">
        <is>
          <t>FAQ Tool Call Binding</t>
        </is>
      </c>
    </row>
    <row r="98">
      <c r="A98" s="29" t="n">
        <v>97</v>
      </c>
      <c r="B98" s="30" t="inlineStr">
        <is>
          <t>Estimation &amp; Financials</t>
        </is>
      </c>
      <c r="C98" s="31" t="inlineStr">
        <is>
          <t>estimation_risks</t>
        </is>
      </c>
      <c r="D98" s="31" t="inlineStr">
        <is>
          <t>Show estimation risks for :project_name.</t>
        </is>
      </c>
      <c r="E98" s="31" t="inlineStr">
        <is>
          <t>What risks were recorded with the estimate?</t>
        </is>
      </c>
      <c r="F98" s="31" t="inlineStr">
        <is>
          <t>List estimation-level risks.</t>
        </is>
      </c>
      <c r="G98" s="31" t="inlineStr">
        <is>
          <t>project_name, version</t>
        </is>
      </c>
      <c r="H98" s="32" t="inlineStr">
        <is>
          <t>Direct</t>
        </is>
      </c>
      <c r="I98" s="31" t="inlineStr">
        <is>
          <t>tbl_estimation_risks; project estimation</t>
        </is>
      </c>
      <c r="J98" s="33" t="inlineStr">
        <is>
          <t>Pending SQL mapping</t>
        </is>
      </c>
      <c r="K98" s="31" t="inlineStr">
        <is>
          <t>Distinct from project risk register.</t>
        </is>
      </c>
      <c r="L98" s="31" t="inlineStr">
        <is>
          <t>FAQ Tool Call Binding</t>
        </is>
      </c>
    </row>
    <row r="99">
      <c r="A99" s="29" t="n">
        <v>98</v>
      </c>
      <c r="B99" s="30" t="inlineStr">
        <is>
          <t>Estimation &amp; Financials</t>
        </is>
      </c>
      <c r="C99" s="31" t="inlineStr">
        <is>
          <t>infrastructure_cost_summary</t>
        </is>
      </c>
      <c r="D99" s="31" t="inlineStr">
        <is>
          <t>Show infrastructure cost estimates for :project_name.</t>
        </is>
      </c>
      <c r="E99" s="31" t="inlineStr">
        <is>
          <t>What monthly infrastructure cost is recorded?</t>
        </is>
      </c>
      <c r="F99" s="31" t="inlineStr">
        <is>
          <t>Summarize infrastructure requirement costs.</t>
        </is>
      </c>
      <c r="G99" s="31" t="inlineStr">
        <is>
          <t>project_name</t>
        </is>
      </c>
      <c r="H99" s="32" t="inlineStr">
        <is>
          <t>Direct</t>
        </is>
      </c>
      <c r="I99" s="31" t="inlineStr">
        <is>
          <t>project_requirements_lineitem; infrastructure requirements</t>
        </is>
      </c>
      <c r="J99" s="33" t="inlineStr">
        <is>
          <t>Pending SQL mapping</t>
        </is>
      </c>
      <c r="K99" s="31" t="inlineStr">
        <is>
          <t>Currency not explicit.</t>
        </is>
      </c>
      <c r="L99" s="31" t="inlineStr">
        <is>
          <t>FAQ Tool Call Binding</t>
        </is>
      </c>
    </row>
    <row r="100">
      <c r="A100" s="29" t="n">
        <v>99</v>
      </c>
      <c r="B100" s="30" t="inlineStr">
        <is>
          <t>Estimation &amp; Financials</t>
        </is>
      </c>
      <c r="C100" s="31" t="inlineStr">
        <is>
          <t>project_budget_status</t>
        </is>
      </c>
      <c r="D100" s="31" t="inlineStr">
        <is>
          <t>What is the budget status of :project_name?</t>
        </is>
      </c>
      <c r="E100" s="31" t="inlineStr">
        <is>
          <t>How much project budget remains?</t>
        </is>
      </c>
      <c r="F100" s="31" t="inlineStr">
        <is>
          <t>Is :project_name within budget?</t>
        </is>
      </c>
      <c r="G100" s="31" t="inlineStr">
        <is>
          <t>project_name</t>
        </is>
      </c>
      <c r="H100" s="36" t="inlineStr">
        <is>
          <t>Not supported directly</t>
        </is>
      </c>
      <c r="I100" s="31" t="inlineStr">
        <is>
          <t>project/estimation tables</t>
        </is>
      </c>
      <c r="J100" s="35" t="inlineStr">
        <is>
          <t>Needs product clarification</t>
        </is>
      </c>
      <c r="K100" s="31" t="inlineStr">
        <is>
          <t>No explicit approved budget, actual cost, or remaining budget fields identified.</t>
        </is>
      </c>
      <c r="L100" s="31" t="inlineStr">
        <is>
          <t>FAQ Tool Call Binding</t>
        </is>
      </c>
    </row>
    <row r="101">
      <c r="A101" s="29" t="n">
        <v>100</v>
      </c>
      <c r="B101" s="30" t="inlineStr">
        <is>
          <t>Estimation &amp; Financials</t>
        </is>
      </c>
      <c r="C101" s="31" t="inlineStr">
        <is>
          <t>project_margin</t>
        </is>
      </c>
      <c r="D101" s="31" t="inlineStr">
        <is>
          <t>What is the margin of :project_name?</t>
        </is>
      </c>
      <c r="E101" s="31" t="inlineStr">
        <is>
          <t>Show revenue minus project cost.</t>
        </is>
      </c>
      <c r="F101" s="31" t="inlineStr">
        <is>
          <t>Is :project_name profitable?</t>
        </is>
      </c>
      <c r="G101" s="31" t="inlineStr">
        <is>
          <t>project_name</t>
        </is>
      </c>
      <c r="H101" s="36" t="inlineStr">
        <is>
          <t>Not supported directly</t>
        </is>
      </c>
      <c r="I101" s="31" t="inlineStr">
        <is>
          <t>tbl_projects.deal_value; partial cost data</t>
        </is>
      </c>
      <c r="J101" s="35" t="inlineStr">
        <is>
          <t>Needs product clarification</t>
        </is>
      </c>
      <c r="K101" s="31" t="inlineStr">
        <is>
          <t>Complete cost model and currency rules are absent.</t>
        </is>
      </c>
      <c r="L101" s="31" t="inlineStr">
        <is>
          <t>FAQ Tool Call Binding</t>
        </is>
      </c>
    </row>
    <row r="102">
      <c r="A102" s="29" t="n">
        <v>101</v>
      </c>
      <c r="B102" s="30" t="inlineStr">
        <is>
          <t>Risks</t>
        </is>
      </c>
      <c r="C102" s="31" t="inlineStr">
        <is>
          <t>open_project_risks</t>
        </is>
      </c>
      <c r="D102" s="31" t="inlineStr">
        <is>
          <t>What are the open risks for :project_name?</t>
        </is>
      </c>
      <c r="E102" s="31" t="inlineStr">
        <is>
          <t>Show unresolved risks on :project_name.</t>
        </is>
      </c>
      <c r="F102" s="31" t="inlineStr">
        <is>
          <t>List active project risks.</t>
        </is>
      </c>
      <c r="G102" s="31" t="inlineStr">
        <is>
          <t>project_name</t>
        </is>
      </c>
      <c r="H102" s="34" t="inlineStr">
        <is>
          <t>Derived</t>
        </is>
      </c>
      <c r="I102" s="31" t="inlineStr">
        <is>
          <t>tbl_risk; tbl_risk_status</t>
        </is>
      </c>
      <c r="J102" s="35" t="inlineStr">
        <is>
          <t>Pending business rule</t>
        </is>
      </c>
      <c r="K102" s="31" t="inlineStr">
        <is>
          <t>Define open risk statuses.</t>
        </is>
      </c>
      <c r="L102" s="31" t="inlineStr">
        <is>
          <t>FAQ Tool Call Binding</t>
        </is>
      </c>
    </row>
    <row r="103">
      <c r="A103" s="29" t="n">
        <v>102</v>
      </c>
      <c r="B103" s="30" t="inlineStr">
        <is>
          <t>Risks</t>
        </is>
      </c>
      <c r="C103" s="31" t="inlineStr">
        <is>
          <t>high_priority_risks</t>
        </is>
      </c>
      <c r="D103" s="31" t="inlineStr">
        <is>
          <t>Which risks are high priority?</t>
        </is>
      </c>
      <c r="E103" s="31" t="inlineStr">
        <is>
          <t>Show critical project risks.</t>
        </is>
      </c>
      <c r="F103" s="31" t="inlineStr">
        <is>
          <t>List the highest-priority risks.</t>
        </is>
      </c>
      <c r="G103" s="31" t="inlineStr">
        <is>
          <t>project_scope</t>
        </is>
      </c>
      <c r="H103" s="32" t="inlineStr">
        <is>
          <t>Direct</t>
        </is>
      </c>
      <c r="I103" s="31" t="inlineStr">
        <is>
          <t>tbl_risk.risk_priority_id; tbl_risk_priority</t>
        </is>
      </c>
      <c r="J103" s="33" t="inlineStr">
        <is>
          <t>Pending SQL mapping</t>
        </is>
      </c>
      <c r="K103" s="31" t="inlineStr">
        <is>
          <t>Lookup values required.</t>
        </is>
      </c>
      <c r="L103" s="31" t="inlineStr">
        <is>
          <t>FAQ Tool Call Binding</t>
        </is>
      </c>
    </row>
    <row r="104">
      <c r="A104" s="29" t="n">
        <v>103</v>
      </c>
      <c r="B104" s="30" t="inlineStr">
        <is>
          <t>Risks</t>
        </is>
      </c>
      <c r="C104" s="31" t="inlineStr">
        <is>
          <t>risk_details</t>
        </is>
      </c>
      <c r="D104" s="31" t="inlineStr">
        <is>
          <t>Show details of risk :risk_reference.</t>
        </is>
      </c>
      <c r="E104" s="31" t="inlineStr">
        <is>
          <t>Give me the risk record for :risk_reference.</t>
        </is>
      </c>
      <c r="F104" s="31" t="inlineStr">
        <is>
          <t>Open risk :risk_reference.</t>
        </is>
      </c>
      <c r="G104" s="31" t="inlineStr">
        <is>
          <t>risk_reference</t>
        </is>
      </c>
      <c r="H104" s="32" t="inlineStr">
        <is>
          <t>Direct</t>
        </is>
      </c>
      <c r="I104" s="31" t="inlineStr">
        <is>
          <t>tbl_risk</t>
        </is>
      </c>
      <c r="J104" s="33" t="inlineStr">
        <is>
          <t>Pending SQL mapping</t>
        </is>
      </c>
      <c r="K104" s="31" t="inlineStr">
        <is>
          <t>Use reference_no.</t>
        </is>
      </c>
      <c r="L104" s="31" t="inlineStr">
        <is>
          <t>FAQ Tool Call Binding</t>
        </is>
      </c>
    </row>
    <row r="105">
      <c r="A105" s="29" t="n">
        <v>104</v>
      </c>
      <c r="B105" s="30" t="inlineStr">
        <is>
          <t>Risks</t>
        </is>
      </c>
      <c r="C105" s="31" t="inlineStr">
        <is>
          <t>risks_by_probability</t>
        </is>
      </c>
      <c r="D105" s="31" t="inlineStr">
        <is>
          <t>Show risks by probability.</t>
        </is>
      </c>
      <c r="E105" s="31" t="inlineStr">
        <is>
          <t>Group active risks by probability rating.</t>
        </is>
      </c>
      <c r="F105" s="31" t="inlineStr">
        <is>
          <t>How many risks are in each probability level?</t>
        </is>
      </c>
      <c r="G105" s="31" t="inlineStr">
        <is>
          <t>project_scope</t>
        </is>
      </c>
      <c r="H105" s="32" t="inlineStr">
        <is>
          <t>Direct</t>
        </is>
      </c>
      <c r="I105" s="31" t="inlineStr">
        <is>
          <t>tbl_risk; tbl_risk_probability</t>
        </is>
      </c>
      <c r="J105" s="33" t="inlineStr">
        <is>
          <t>Pending SQL mapping</t>
        </is>
      </c>
      <c r="K105" s="31" t="inlineStr">
        <is>
          <t>Lookup values required.</t>
        </is>
      </c>
      <c r="L105" s="31" t="inlineStr">
        <is>
          <t>FAQ Tool Call Binding</t>
        </is>
      </c>
    </row>
    <row r="106">
      <c r="A106" s="29" t="n">
        <v>105</v>
      </c>
      <c r="B106" s="30" t="inlineStr">
        <is>
          <t>Risks</t>
        </is>
      </c>
      <c r="C106" s="31" t="inlineStr">
        <is>
          <t>risks_by_impact</t>
        </is>
      </c>
      <c r="D106" s="31" t="inlineStr">
        <is>
          <t>Show risks by impact.</t>
        </is>
      </c>
      <c r="E106" s="31" t="inlineStr">
        <is>
          <t>Group active risks by impact rating.</t>
        </is>
      </c>
      <c r="F106" s="31" t="inlineStr">
        <is>
          <t>How many risks are in each impact level?</t>
        </is>
      </c>
      <c r="G106" s="31" t="inlineStr">
        <is>
          <t>project_scope</t>
        </is>
      </c>
      <c r="H106" s="32" t="inlineStr">
        <is>
          <t>Direct</t>
        </is>
      </c>
      <c r="I106" s="31" t="inlineStr">
        <is>
          <t>tbl_risk; tbl_risk_impact</t>
        </is>
      </c>
      <c r="J106" s="33" t="inlineStr">
        <is>
          <t>Pending SQL mapping</t>
        </is>
      </c>
      <c r="K106" s="31" t="inlineStr">
        <is>
          <t>Lookup values required.</t>
        </is>
      </c>
      <c r="L106" s="31" t="inlineStr">
        <is>
          <t>FAQ Tool Call Binding</t>
        </is>
      </c>
    </row>
    <row r="107">
      <c r="A107" s="29" t="n">
        <v>106</v>
      </c>
      <c r="B107" s="30" t="inlineStr">
        <is>
          <t>Risks</t>
        </is>
      </c>
      <c r="C107" s="31" t="inlineStr">
        <is>
          <t>risks_without_owner</t>
        </is>
      </c>
      <c r="D107" s="31" t="inlineStr">
        <is>
          <t>Which risks have no owner?</t>
        </is>
      </c>
      <c r="E107" s="31" t="inlineStr">
        <is>
          <t>Show unassigned risks.</t>
        </is>
      </c>
      <c r="F107" s="31" t="inlineStr">
        <is>
          <t>List risks without responsibility.</t>
        </is>
      </c>
      <c r="G107" s="31" t="inlineStr">
        <is>
          <t>project_scope</t>
        </is>
      </c>
      <c r="H107" s="32" t="inlineStr">
        <is>
          <t>Direct</t>
        </is>
      </c>
      <c r="I107" s="31" t="inlineStr">
        <is>
          <t>tbl_risk.owner_id/responsibility</t>
        </is>
      </c>
      <c r="J107" s="35" t="inlineStr">
        <is>
          <t>Needs ownership-field choice</t>
        </is>
      </c>
      <c r="K107" s="31" t="inlineStr">
        <is>
          <t>Confirm owner_id versus responsibility.</t>
        </is>
      </c>
      <c r="L107" s="31" t="inlineStr">
        <is>
          <t>FAQ Tool Call Binding</t>
        </is>
      </c>
    </row>
    <row r="108">
      <c r="A108" s="29" t="n">
        <v>107</v>
      </c>
      <c r="B108" s="30" t="inlineStr">
        <is>
          <t>Risks</t>
        </is>
      </c>
      <c r="C108" s="31" t="inlineStr">
        <is>
          <t>risk_actions_due</t>
        </is>
      </c>
      <c r="D108" s="31" t="inlineStr">
        <is>
          <t>Which risk actions are due by :date?</t>
        </is>
      </c>
      <c r="E108" s="31" t="inlineStr">
        <is>
          <t>Show mitigation work due soon.</t>
        </is>
      </c>
      <c r="F108" s="31" t="inlineStr">
        <is>
          <t>List risk actions approaching target closure.</t>
        </is>
      </c>
      <c r="G108" s="31" t="inlineStr">
        <is>
          <t>date</t>
        </is>
      </c>
      <c r="H108" s="35" t="inlineStr">
        <is>
          <t>Partial</t>
        </is>
      </c>
      <c r="I108" s="31" t="inlineStr">
        <is>
          <t>tbl_risk.target_closure_date; mitigation plans</t>
        </is>
      </c>
      <c r="J108" s="35" t="inlineStr">
        <is>
          <t>Needs action model confirmation</t>
        </is>
      </c>
      <c r="K108" s="31" t="inlineStr">
        <is>
          <t>Mitigation actions table lacks explicit due date.</t>
        </is>
      </c>
      <c r="L108" s="31" t="inlineStr">
        <is>
          <t>FAQ Tool Call Binding</t>
        </is>
      </c>
    </row>
    <row r="109">
      <c r="A109" s="29" t="n">
        <v>108</v>
      </c>
      <c r="B109" s="30" t="inlineStr">
        <is>
          <t>Risks</t>
        </is>
      </c>
      <c r="C109" s="31" t="inlineStr">
        <is>
          <t>overdue_risks</t>
        </is>
      </c>
      <c r="D109" s="31" t="inlineStr">
        <is>
          <t>Which open risks are past their target closure date?</t>
        </is>
      </c>
      <c r="E109" s="31" t="inlineStr">
        <is>
          <t>Show overdue unresolved risks.</t>
        </is>
      </c>
      <c r="F109" s="31" t="inlineStr">
        <is>
          <t>List risks missing target closure.</t>
        </is>
      </c>
      <c r="G109" s="31" t="inlineStr">
        <is>
          <t>as_of_date</t>
        </is>
      </c>
      <c r="H109" s="34" t="inlineStr">
        <is>
          <t>Derived</t>
        </is>
      </c>
      <c r="I109" s="31" t="inlineStr">
        <is>
          <t>tbl_risk; risk status</t>
        </is>
      </c>
      <c r="J109" s="35" t="inlineStr">
        <is>
          <t>Pending business rule</t>
        </is>
      </c>
      <c r="K109" s="31" t="inlineStr">
        <is>
          <t>Define closed statuses and revised date precedence.</t>
        </is>
      </c>
      <c r="L109" s="31" t="inlineStr">
        <is>
          <t>FAQ Tool Call Binding</t>
        </is>
      </c>
    </row>
    <row r="110">
      <c r="A110" s="29" t="n">
        <v>109</v>
      </c>
      <c r="B110" s="30" t="inlineStr">
        <is>
          <t>Risks</t>
        </is>
      </c>
      <c r="C110" s="31" t="inlineStr">
        <is>
          <t>risk_history</t>
        </is>
      </c>
      <c r="D110" s="31" t="inlineStr">
        <is>
          <t>Show the status history of risk :risk_reference.</t>
        </is>
      </c>
      <c r="E110" s="31" t="inlineStr">
        <is>
          <t>How has risk :risk_reference changed?</t>
        </is>
      </c>
      <c r="F110" s="31" t="inlineStr">
        <is>
          <t>List updates to risk :risk_reference.</t>
        </is>
      </c>
      <c r="G110" s="31" t="inlineStr">
        <is>
          <t>risk_reference</t>
        </is>
      </c>
      <c r="H110" s="32" t="inlineStr">
        <is>
          <t>Direct</t>
        </is>
      </c>
      <c r="I110" s="31" t="inlineStr">
        <is>
          <t>tbl_risk_history; tbl_risk_update</t>
        </is>
      </c>
      <c r="J110" s="33" t="inlineStr">
        <is>
          <t>Pending SQL mapping</t>
        </is>
      </c>
      <c r="K110" s="31" t="inlineStr">
        <is>
          <t>Combine structured history and text updates.</t>
        </is>
      </c>
      <c r="L110" s="31" t="inlineStr">
        <is>
          <t>FAQ Tool Call Binding</t>
        </is>
      </c>
    </row>
    <row r="111">
      <c r="A111" s="29" t="n">
        <v>110</v>
      </c>
      <c r="B111" s="30" t="inlineStr">
        <is>
          <t>Risks</t>
        </is>
      </c>
      <c r="C111" s="31" t="inlineStr">
        <is>
          <t>risk_trend</t>
        </is>
      </c>
      <c r="D111" s="31" t="inlineStr">
        <is>
          <t>Show risk creation and closure trend for the last :months months.</t>
        </is>
      </c>
      <c r="E111" s="31" t="inlineStr">
        <is>
          <t>How are open risks trending?</t>
        </is>
      </c>
      <c r="F111" s="31" t="inlineStr">
        <is>
          <t>Give monthly risk movement.</t>
        </is>
      </c>
      <c r="G111" s="31" t="inlineStr">
        <is>
          <t>months</t>
        </is>
      </c>
      <c r="H111" s="34" t="inlineStr">
        <is>
          <t>Derived</t>
        </is>
      </c>
      <c r="I111" s="31" t="inlineStr">
        <is>
          <t>tbl_risk.date_raised/date_closed</t>
        </is>
      </c>
      <c r="J111" s="35" t="inlineStr">
        <is>
          <t>Pending business rule</t>
        </is>
      </c>
      <c r="K111" s="31" t="inlineStr">
        <is>
          <t>Clarify point-in-time open count versus event counts.</t>
        </is>
      </c>
      <c r="L111" s="31" t="inlineStr">
        <is>
          <t>FAQ Tool Call Binding</t>
        </is>
      </c>
    </row>
    <row r="112">
      <c r="A112" s="29" t="n">
        <v>111</v>
      </c>
      <c r="B112" s="30" t="inlineStr">
        <is>
          <t>Issues &amp; Reporting</t>
        </is>
      </c>
      <c r="C112" s="31" t="inlineStr">
        <is>
          <t>open_project_issues</t>
        </is>
      </c>
      <c r="D112" s="31" t="inlineStr">
        <is>
          <t>What are the open issues for :project_name?</t>
        </is>
      </c>
      <c r="E112" s="31" t="inlineStr">
        <is>
          <t>Show unresolved issues on :project_name.</t>
        </is>
      </c>
      <c r="F112" s="31" t="inlineStr">
        <is>
          <t>List active project issues.</t>
        </is>
      </c>
      <c r="G112" s="31" t="inlineStr">
        <is>
          <t>project_name</t>
        </is>
      </c>
      <c r="H112" s="34" t="inlineStr">
        <is>
          <t>Derived</t>
        </is>
      </c>
      <c r="I112" s="31" t="inlineStr">
        <is>
          <t>tbl_project_issues; issue status</t>
        </is>
      </c>
      <c r="J112" s="35" t="inlineStr">
        <is>
          <t>Pending business rule</t>
        </is>
      </c>
      <c r="K112" s="31" t="inlineStr">
        <is>
          <t>Define open issue statuses.</t>
        </is>
      </c>
      <c r="L112" s="31" t="inlineStr">
        <is>
          <t>FAQ Tool Call Binding</t>
        </is>
      </c>
    </row>
    <row r="113">
      <c r="A113" s="29" t="n">
        <v>112</v>
      </c>
      <c r="B113" s="30" t="inlineStr">
        <is>
          <t>Issues &amp; Reporting</t>
        </is>
      </c>
      <c r="C113" s="31" t="inlineStr">
        <is>
          <t>issue_details</t>
        </is>
      </c>
      <c r="D113" s="31" t="inlineStr">
        <is>
          <t>Show details of issue :issue_reference.</t>
        </is>
      </c>
      <c r="E113" s="31" t="inlineStr">
        <is>
          <t>Give me the issue record for :issue_reference.</t>
        </is>
      </c>
      <c r="F113" s="31" t="inlineStr">
        <is>
          <t>Open issue :issue_reference.</t>
        </is>
      </c>
      <c r="G113" s="31" t="inlineStr">
        <is>
          <t>issue_reference</t>
        </is>
      </c>
      <c r="H113" s="32" t="inlineStr">
        <is>
          <t>Direct</t>
        </is>
      </c>
      <c r="I113" s="31" t="inlineStr">
        <is>
          <t>tbl_project_issues</t>
        </is>
      </c>
      <c r="J113" s="33" t="inlineStr">
        <is>
          <t>Pending SQL mapping</t>
        </is>
      </c>
      <c r="K113" s="31" t="inlineStr">
        <is>
          <t>Use reference_no.</t>
        </is>
      </c>
      <c r="L113" s="31" t="inlineStr">
        <is>
          <t>FAQ Tool Call Binding</t>
        </is>
      </c>
    </row>
    <row r="114">
      <c r="A114" s="29" t="n">
        <v>113</v>
      </c>
      <c r="B114" s="30" t="inlineStr">
        <is>
          <t>Issues &amp; Reporting</t>
        </is>
      </c>
      <c r="C114" s="31" t="inlineStr">
        <is>
          <t>high_severity_issues</t>
        </is>
      </c>
      <c r="D114" s="31" t="inlineStr">
        <is>
          <t>Which issues have high severity?</t>
        </is>
      </c>
      <c r="E114" s="31" t="inlineStr">
        <is>
          <t>Show critical defects or issues.</t>
        </is>
      </c>
      <c r="F114" s="31" t="inlineStr">
        <is>
          <t>List high-severity open issues.</t>
        </is>
      </c>
      <c r="G114" s="31" t="inlineStr">
        <is>
          <t>project_scope</t>
        </is>
      </c>
      <c r="H114" s="32" t="inlineStr">
        <is>
          <t>Direct</t>
        </is>
      </c>
      <c r="I114" s="31" t="inlineStr">
        <is>
          <t>tbl_project_issues.severity</t>
        </is>
      </c>
      <c r="J114" s="35" t="inlineStr">
        <is>
          <t>Needs value confirmation</t>
        </is>
      </c>
      <c r="K114" s="31" t="inlineStr">
        <is>
          <t>Severity values are not supplied.</t>
        </is>
      </c>
      <c r="L114" s="31" t="inlineStr">
        <is>
          <t>FAQ Tool Call Binding</t>
        </is>
      </c>
    </row>
    <row r="115">
      <c r="A115" s="29" t="n">
        <v>114</v>
      </c>
      <c r="B115" s="30" t="inlineStr">
        <is>
          <t>Issues &amp; Reporting</t>
        </is>
      </c>
      <c r="C115" s="31" t="inlineStr">
        <is>
          <t>overdue_issues</t>
        </is>
      </c>
      <c r="D115" s="31" t="inlineStr">
        <is>
          <t>Which open issues are overdue?</t>
        </is>
      </c>
      <c r="E115" s="31" t="inlineStr">
        <is>
          <t>Show issues past planned closure date.</t>
        </is>
      </c>
      <c r="F115" s="31" t="inlineStr">
        <is>
          <t>List delayed unresolved issues.</t>
        </is>
      </c>
      <c r="G115" s="31" t="inlineStr">
        <is>
          <t>as_of_date</t>
        </is>
      </c>
      <c r="H115" s="34" t="inlineStr">
        <is>
          <t>Derived</t>
        </is>
      </c>
      <c r="I115" s="31" t="inlineStr">
        <is>
          <t>tbl_project_issues.planned_closure_date; issue status</t>
        </is>
      </c>
      <c r="J115" s="35" t="inlineStr">
        <is>
          <t>Pending business rule</t>
        </is>
      </c>
      <c r="K115" s="31" t="inlineStr">
        <is>
          <t>Define open statuses and revised dates if any.</t>
        </is>
      </c>
      <c r="L115" s="31" t="inlineStr">
        <is>
          <t>FAQ Tool Call Binding</t>
        </is>
      </c>
    </row>
    <row r="116">
      <c r="A116" s="29" t="n">
        <v>115</v>
      </c>
      <c r="B116" s="30" t="inlineStr">
        <is>
          <t>Issues &amp; Reporting</t>
        </is>
      </c>
      <c r="C116" s="31" t="inlineStr">
        <is>
          <t>issues_by_status</t>
        </is>
      </c>
      <c r="D116" s="31" t="inlineStr">
        <is>
          <t>Show issue counts by status for :project_name.</t>
        </is>
      </c>
      <c r="E116" s="31" t="inlineStr">
        <is>
          <t>Summarize issues by workflow status.</t>
        </is>
      </c>
      <c r="F116" s="31" t="inlineStr">
        <is>
          <t>How many issues are in each status?</t>
        </is>
      </c>
      <c r="G116" s="31" t="inlineStr">
        <is>
          <t>project_name</t>
        </is>
      </c>
      <c r="H116" s="32" t="inlineStr">
        <is>
          <t>Direct</t>
        </is>
      </c>
      <c r="I116" s="31" t="inlineStr">
        <is>
          <t>project issues; issue status</t>
        </is>
      </c>
      <c r="J116" s="33" t="inlineStr">
        <is>
          <t>Pending SQL mapping</t>
        </is>
      </c>
      <c r="K116" s="31" t="inlineStr">
        <is>
          <t>Lookup values required.</t>
        </is>
      </c>
      <c r="L116" s="31" t="inlineStr">
        <is>
          <t>FAQ Tool Call Binding</t>
        </is>
      </c>
    </row>
    <row r="117">
      <c r="A117" s="29" t="n">
        <v>116</v>
      </c>
      <c r="B117" s="30" t="inlineStr">
        <is>
          <t>Issues &amp; Reporting</t>
        </is>
      </c>
      <c r="C117" s="31" t="inlineStr">
        <is>
          <t>issues_by_assignee</t>
        </is>
      </c>
      <c r="D117" s="31" t="inlineStr">
        <is>
          <t>Show issues assigned to :employee_name.</t>
        </is>
      </c>
      <c r="E117" s="31" t="inlineStr">
        <is>
          <t>List :employee_name’s project issues.</t>
        </is>
      </c>
      <c r="F117" s="31" t="inlineStr">
        <is>
          <t>What issues is :employee_name responsible for?</t>
        </is>
      </c>
      <c r="G117" s="31" t="inlineStr">
        <is>
          <t>employee_name</t>
        </is>
      </c>
      <c r="H117" s="35" t="inlineStr">
        <is>
          <t>Partial</t>
        </is>
      </c>
      <c r="I117" s="31" t="inlineStr">
        <is>
          <t>tbl_project_issue_users; tbl_project_issues.user_id</t>
        </is>
      </c>
      <c r="J117" s="35" t="inlineStr">
        <is>
          <t>Needs assignee-field confirmation</t>
        </is>
      </c>
      <c r="K117" s="31" t="inlineStr">
        <is>
          <t>Confirm primary owner versus additional users.</t>
        </is>
      </c>
      <c r="L117" s="31" t="inlineStr">
        <is>
          <t>FAQ Tool Call Binding</t>
        </is>
      </c>
    </row>
    <row r="118">
      <c r="A118" s="29" t="n">
        <v>117</v>
      </c>
      <c r="B118" s="30" t="inlineStr">
        <is>
          <t>Issues &amp; Reporting</t>
        </is>
      </c>
      <c r="C118" s="31" t="inlineStr">
        <is>
          <t>project_weekly_task_summary</t>
        </is>
      </c>
      <c r="D118" s="31" t="inlineStr">
        <is>
          <t>Show the weekly task summary for :project_name.</t>
        </is>
      </c>
      <c r="E118" s="31" t="inlineStr">
        <is>
          <t>Give scheduled, due, UAT, and closed task counts for the week.</t>
        </is>
      </c>
      <c r="F118" s="31" t="inlineStr">
        <is>
          <t>Summarize weekly task status.</t>
        </is>
      </c>
      <c r="G118" s="31" t="inlineStr">
        <is>
          <t>project_name, week_range</t>
        </is>
      </c>
      <c r="H118" s="32" t="inlineStr">
        <is>
          <t>Direct</t>
        </is>
      </c>
      <c r="I118" s="31" t="inlineStr">
        <is>
          <t>tbl_weekly_task_status</t>
        </is>
      </c>
      <c r="J118" s="33" t="inlineStr">
        <is>
          <t>Pending SQL mapping</t>
        </is>
      </c>
      <c r="K118" s="31" t="inlineStr">
        <is>
          <t>Confirm freshness and week_range format.</t>
        </is>
      </c>
      <c r="L118" s="31" t="inlineStr">
        <is>
          <t>FAQ Tool Call Binding</t>
        </is>
      </c>
    </row>
    <row r="119">
      <c r="A119" s="29" t="n">
        <v>118</v>
      </c>
      <c r="B119" s="30" t="inlineStr">
        <is>
          <t>Issues &amp; Reporting</t>
        </is>
      </c>
      <c r="C119" s="31" t="inlineStr">
        <is>
          <t>project_weekly_issue_summary</t>
        </is>
      </c>
      <c r="D119" s="31" t="inlineStr">
        <is>
          <t>Show the weekly issue summary for :project_name.</t>
        </is>
      </c>
      <c r="E119" s="31" t="inlineStr">
        <is>
          <t>Give raised, closed, and carried-forward issue counts.</t>
        </is>
      </c>
      <c r="F119" s="31" t="inlineStr">
        <is>
          <t>Summarize weekly issue status.</t>
        </is>
      </c>
      <c r="G119" s="31" t="inlineStr">
        <is>
          <t>project_name, week_range</t>
        </is>
      </c>
      <c r="H119" s="32" t="inlineStr">
        <is>
          <t>Direct</t>
        </is>
      </c>
      <c r="I119" s="31" t="inlineStr">
        <is>
          <t>tbl_weekly_issue_status</t>
        </is>
      </c>
      <c r="J119" s="33" t="inlineStr">
        <is>
          <t>Pending SQL mapping</t>
        </is>
      </c>
      <c r="K119" s="31" t="inlineStr">
        <is>
          <t>Confirm freshness and week_range format.</t>
        </is>
      </c>
      <c r="L119" s="31" t="inlineStr">
        <is>
          <t>FAQ Tool Call Binding</t>
        </is>
      </c>
    </row>
    <row r="120">
      <c r="A120" s="29" t="n">
        <v>119</v>
      </c>
      <c r="B120" s="30" t="inlineStr">
        <is>
          <t>Issues &amp; Reporting</t>
        </is>
      </c>
      <c r="C120" s="31" t="inlineStr">
        <is>
          <t>project_executive_summary</t>
        </is>
      </c>
      <c r="D120" s="31" t="inlineStr">
        <is>
          <t>Show the latest executive summary for :project_name.</t>
        </is>
      </c>
      <c r="E120" s="31" t="inlineStr">
        <is>
          <t>Give the latest project management summary.</t>
        </is>
      </c>
      <c r="F120" s="31" t="inlineStr">
        <is>
          <t>What is the latest executive update for :project_name?</t>
        </is>
      </c>
      <c r="G120" s="31" t="inlineStr">
        <is>
          <t>project_name</t>
        </is>
      </c>
      <c r="H120" s="32" t="inlineStr">
        <is>
          <t>Direct</t>
        </is>
      </c>
      <c r="I120" s="31" t="inlineStr">
        <is>
          <t>tbl_project_executive_summary</t>
        </is>
      </c>
      <c r="J120" s="33" t="inlineStr">
        <is>
          <t>Pending SQL mapping</t>
        </is>
      </c>
      <c r="K120" s="31" t="inlineStr">
        <is>
          <t>Select latest by save_date/post_date.</t>
        </is>
      </c>
      <c r="L120" s="31" t="inlineStr">
        <is>
          <t>FAQ Tool Call Binding</t>
        </is>
      </c>
    </row>
    <row r="121">
      <c r="A121" s="29" t="n">
        <v>120</v>
      </c>
      <c r="B121" s="30" t="inlineStr">
        <is>
          <t>Issues &amp; Reporting</t>
        </is>
      </c>
      <c r="C121" s="31" t="inlineStr">
        <is>
          <t>portfolio_health_summary</t>
        </is>
      </c>
      <c r="D121" s="31" t="inlineStr">
        <is>
          <t>Give me a portfolio health summary.</t>
        </is>
      </c>
      <c r="E121" s="31" t="inlineStr">
        <is>
          <t>Summarize projects, tasks, risks, and issues.</t>
        </is>
      </c>
      <c r="F121" s="31" t="inlineStr">
        <is>
          <t>Show the overall PMS health dashboard.</t>
        </is>
      </c>
      <c r="G121" s="31" t="inlineStr">
        <is>
          <t>current_user_scope, as_of_date</t>
        </is>
      </c>
      <c r="H121" s="34" t="inlineStr">
        <is>
          <t>Derived</t>
        </is>
      </c>
      <c r="I121" s="31" t="inlineStr">
        <is>
          <t>projects; tasks; risks; issues; weekly summaries</t>
        </is>
      </c>
      <c r="J121" s="35" t="inlineStr">
        <is>
          <t>Pending business rule</t>
        </is>
      </c>
      <c r="K121" s="31" t="inlineStr">
        <is>
          <t>Define KPIs, visibility scope, and aggregation logic.</t>
        </is>
      </c>
      <c r="L121" s="31" t="inlineStr">
        <is>
          <t>FAQ Tool Call Binding</t>
        </is>
      </c>
    </row>
    <row r="122">
      <c r="A122" s="37" t="n"/>
    </row>
    <row r="123">
      <c r="A123" s="37" t="n"/>
    </row>
    <row r="124">
      <c r="A124" s="37" t="n"/>
    </row>
    <row r="125">
      <c r="A125" s="37" t="n"/>
    </row>
    <row r="126">
      <c r="A126" s="37" t="n"/>
    </row>
    <row r="127">
      <c r="A127" s="37" t="n"/>
    </row>
    <row r="128">
      <c r="A128" s="37" t="n"/>
    </row>
    <row r="129">
      <c r="A129" s="37" t="n"/>
    </row>
    <row r="130">
      <c r="A130" s="37" t="n"/>
    </row>
    <row r="131">
      <c r="A131" s="37" t="n"/>
    </row>
    <row r="132">
      <c r="A132" s="37" t="n"/>
    </row>
    <row r="133">
      <c r="A133" s="37" t="n"/>
    </row>
    <row r="134">
      <c r="A134" s="37" t="n"/>
    </row>
    <row r="135">
      <c r="A135" s="37" t="n"/>
    </row>
    <row r="136">
      <c r="A136" s="37" t="n"/>
    </row>
    <row r="137">
      <c r="A137" s="37" t="n"/>
    </row>
    <row r="138">
      <c r="A138" s="37" t="n"/>
    </row>
    <row r="139">
      <c r="A139" s="37" t="n"/>
    </row>
    <row r="140">
      <c r="A140" s="37" t="n"/>
    </row>
    <row r="141">
      <c r="A141" s="37" t="n"/>
    </row>
    <row r="142">
      <c r="A142" s="37" t="n"/>
    </row>
    <row r="143">
      <c r="A143" s="37" t="n"/>
    </row>
    <row r="144">
      <c r="A144" s="37" t="n"/>
    </row>
    <row r="145">
      <c r="A145" s="37" t="n"/>
    </row>
    <row r="146">
      <c r="A146" s="37" t="n"/>
    </row>
    <row r="147">
      <c r="A147" s="37" t="n"/>
    </row>
    <row r="148">
      <c r="A148" s="37" t="n"/>
    </row>
    <row r="149">
      <c r="A149" s="37" t="n"/>
    </row>
    <row r="150">
      <c r="A150" s="37" t="n"/>
    </row>
    <row r="151">
      <c r="A151" s="37" t="n"/>
    </row>
    <row r="152">
      <c r="A152" s="37" t="n"/>
    </row>
    <row r="153">
      <c r="A153" s="37" t="n"/>
    </row>
    <row r="154">
      <c r="A154" s="37" t="n"/>
    </row>
    <row r="155">
      <c r="A155" s="37" t="n"/>
    </row>
    <row r="156">
      <c r="A156" s="37" t="n"/>
    </row>
    <row r="157">
      <c r="A157" s="37" t="n"/>
    </row>
    <row r="158">
      <c r="A158" s="37" t="n"/>
    </row>
    <row r="159">
      <c r="A159" s="37" t="n"/>
    </row>
    <row r="160">
      <c r="A160" s="37" t="n"/>
    </row>
    <row r="161">
      <c r="A161" s="37" t="n"/>
    </row>
    <row r="162">
      <c r="A162" s="37" t="n"/>
    </row>
    <row r="163">
      <c r="A163" s="37" t="n"/>
    </row>
    <row r="164">
      <c r="A164" s="37" t="n"/>
    </row>
    <row r="165">
      <c r="A165" s="37" t="n"/>
    </row>
    <row r="166">
      <c r="A166" s="37" t="n"/>
    </row>
    <row r="167">
      <c r="A167" s="37" t="n"/>
    </row>
    <row r="168">
      <c r="A168" s="37" t="n"/>
    </row>
    <row r="169">
      <c r="A169" s="37" t="n"/>
    </row>
    <row r="170">
      <c r="A170" s="37" t="n"/>
    </row>
    <row r="171">
      <c r="A171" s="37" t="n"/>
    </row>
    <row r="172">
      <c r="A172" s="37" t="n"/>
    </row>
    <row r="173">
      <c r="A173" s="37" t="n"/>
    </row>
    <row r="174">
      <c r="A174" s="37" t="n"/>
    </row>
    <row r="175">
      <c r="A175" s="37" t="n"/>
    </row>
    <row r="176">
      <c r="A176" s="37" t="n"/>
    </row>
    <row r="177">
      <c r="A177" s="37" t="n"/>
    </row>
    <row r="178">
      <c r="A178" s="37" t="n"/>
    </row>
    <row r="179">
      <c r="A179" s="37" t="n"/>
    </row>
    <row r="180">
      <c r="A180" s="37" t="n"/>
    </row>
    <row r="181">
      <c r="A181" s="37" t="n"/>
    </row>
    <row r="182">
      <c r="A182" s="37" t="n"/>
    </row>
    <row r="183">
      <c r="A183" s="37" t="n"/>
    </row>
    <row r="184">
      <c r="A184" s="37" t="n"/>
    </row>
    <row r="185">
      <c r="A185" s="37" t="n"/>
    </row>
    <row r="186">
      <c r="A186" s="37" t="n"/>
    </row>
    <row r="187">
      <c r="A187" s="37" t="n"/>
    </row>
    <row r="188">
      <c r="A188" s="37" t="n"/>
    </row>
    <row r="189">
      <c r="A189" s="37" t="n"/>
    </row>
    <row r="190">
      <c r="A190" s="37" t="n"/>
    </row>
    <row r="191">
      <c r="A191" s="37" t="n"/>
    </row>
    <row r="192">
      <c r="A192" s="37" t="n"/>
    </row>
    <row r="193">
      <c r="A193" s="37" t="n"/>
    </row>
    <row r="194">
      <c r="A194" s="37" t="n"/>
    </row>
    <row r="195">
      <c r="A195" s="37" t="n"/>
    </row>
    <row r="196">
      <c r="A196" s="37" t="n"/>
    </row>
    <row r="197">
      <c r="A197" s="37" t="n"/>
    </row>
    <row r="198">
      <c r="A198" s="37" t="n"/>
    </row>
    <row r="199">
      <c r="A199" s="37" t="n"/>
    </row>
    <row r="200">
      <c r="A200" s="37" t="n"/>
    </row>
    <row r="201">
      <c r="A201" s="37" t="n"/>
    </row>
    <row r="202">
      <c r="A202" s="37" t="n"/>
    </row>
    <row r="203">
      <c r="A203" s="37" t="n"/>
    </row>
    <row r="204">
      <c r="A204" s="37" t="n"/>
    </row>
    <row r="205">
      <c r="A205" s="37" t="n"/>
    </row>
    <row r="206">
      <c r="A206" s="37" t="n"/>
    </row>
    <row r="207">
      <c r="A207" s="37" t="n"/>
    </row>
    <row r="208">
      <c r="A208" s="37" t="n"/>
    </row>
    <row r="209">
      <c r="A209" s="37" t="n"/>
    </row>
    <row r="210">
      <c r="A210" s="37" t="n"/>
    </row>
    <row r="211">
      <c r="A211" s="37" t="n"/>
    </row>
    <row r="212">
      <c r="A212" s="37" t="n"/>
    </row>
    <row r="213">
      <c r="A213" s="37" t="n"/>
    </row>
    <row r="214">
      <c r="A214" s="37" t="n"/>
    </row>
    <row r="215">
      <c r="A215" s="37" t="n"/>
    </row>
    <row r="216">
      <c r="A216" s="37" t="n"/>
    </row>
    <row r="217">
      <c r="A217" s="37" t="n"/>
    </row>
    <row r="218">
      <c r="A218" s="37" t="n"/>
    </row>
    <row r="219">
      <c r="A219" s="37" t="n"/>
    </row>
    <row r="220">
      <c r="A220" s="37" t="n"/>
    </row>
    <row r="221">
      <c r="A221" s="37" t="n"/>
    </row>
    <row r="222">
      <c r="A222" s="37" t="n"/>
    </row>
    <row r="223">
      <c r="A223" s="37" t="n"/>
    </row>
    <row r="224">
      <c r="A224" s="37" t="n"/>
    </row>
    <row r="225">
      <c r="A225" s="37" t="n"/>
    </row>
    <row r="226">
      <c r="A226" s="37" t="n"/>
    </row>
    <row r="227">
      <c r="A227" s="37" t="n"/>
    </row>
    <row r="228">
      <c r="A228" s="37" t="n"/>
    </row>
    <row r="229">
      <c r="A229" s="37" t="n"/>
    </row>
    <row r="230">
      <c r="A230" s="37" t="n"/>
    </row>
    <row r="231">
      <c r="A231" s="37" t="n"/>
    </row>
    <row r="232">
      <c r="A232" s="37" t="n"/>
    </row>
    <row r="233">
      <c r="A233" s="37" t="n"/>
    </row>
    <row r="234">
      <c r="A234" s="37" t="n"/>
    </row>
    <row r="235">
      <c r="A235" s="37" t="n"/>
    </row>
    <row r="236">
      <c r="A236" s="37" t="n"/>
    </row>
    <row r="237">
      <c r="A237" s="37" t="n"/>
    </row>
    <row r="238">
      <c r="A238" s="37" t="n"/>
    </row>
    <row r="239">
      <c r="A239" s="37" t="n"/>
    </row>
    <row r="240">
      <c r="A240" s="37" t="n"/>
    </row>
    <row r="241">
      <c r="A241" s="37" t="n"/>
    </row>
    <row r="242">
      <c r="A242" s="37" t="n"/>
    </row>
    <row r="243">
      <c r="A243" s="37" t="n"/>
    </row>
    <row r="244">
      <c r="A244" s="37" t="n"/>
    </row>
    <row r="245">
      <c r="A245" s="37" t="n"/>
    </row>
    <row r="246">
      <c r="A246" s="37" t="n"/>
    </row>
    <row r="247">
      <c r="A247" s="37" t="n"/>
    </row>
    <row r="248">
      <c r="A248" s="37" t="n"/>
    </row>
    <row r="249">
      <c r="A249" s="37" t="n"/>
    </row>
    <row r="250">
      <c r="A250" s="37" t="n"/>
    </row>
    <row r="251">
      <c r="A251" s="37" t="n"/>
    </row>
    <row r="252">
      <c r="A252" s="37" t="n"/>
    </row>
    <row r="253">
      <c r="A253" s="37" t="n"/>
    </row>
    <row r="254">
      <c r="A254" s="37" t="n"/>
    </row>
    <row r="255">
      <c r="A255" s="37" t="n"/>
    </row>
    <row r="256">
      <c r="A256" s="37" t="n"/>
    </row>
    <row r="257">
      <c r="A257" s="37" t="n"/>
    </row>
    <row r="258">
      <c r="A258" s="37" t="n"/>
    </row>
    <row r="259">
      <c r="A259" s="37" t="n"/>
    </row>
    <row r="260">
      <c r="A260" s="37" t="n"/>
    </row>
    <row r="261">
      <c r="A261" s="37" t="n"/>
    </row>
    <row r="262">
      <c r="A262" s="37" t="n"/>
    </row>
    <row r="263">
      <c r="A263" s="37" t="n"/>
    </row>
    <row r="264">
      <c r="A264" s="37" t="n"/>
    </row>
    <row r="265">
      <c r="A265" s="37" t="n"/>
    </row>
    <row r="266">
      <c r="A266" s="37" t="n"/>
    </row>
    <row r="267">
      <c r="A267" s="37" t="n"/>
    </row>
    <row r="268">
      <c r="A268" s="37" t="n"/>
    </row>
    <row r="269">
      <c r="A269" s="37" t="n"/>
    </row>
    <row r="270">
      <c r="A270" s="37" t="n"/>
    </row>
    <row r="271">
      <c r="A271" s="37" t="n"/>
    </row>
    <row r="272">
      <c r="A272" s="37" t="n"/>
    </row>
    <row r="273">
      <c r="A273" s="37" t="n"/>
    </row>
    <row r="274">
      <c r="A274" s="37" t="n"/>
    </row>
    <row r="275">
      <c r="A275" s="37" t="n"/>
    </row>
    <row r="276">
      <c r="A276" s="37" t="n"/>
    </row>
    <row r="277">
      <c r="A277" s="37" t="n"/>
    </row>
    <row r="278">
      <c r="A278" s="37" t="n"/>
    </row>
    <row r="279">
      <c r="A279" s="37" t="n"/>
    </row>
    <row r="280">
      <c r="A280" s="37" t="n"/>
    </row>
    <row r="281">
      <c r="A281" s="37" t="n"/>
    </row>
    <row r="282">
      <c r="A282" s="37" t="n"/>
    </row>
    <row r="283">
      <c r="A283" s="37" t="n"/>
    </row>
    <row r="284">
      <c r="A284" s="37" t="n"/>
    </row>
    <row r="285">
      <c r="A285" s="37" t="n"/>
    </row>
    <row r="286">
      <c r="A286" s="37" t="n"/>
    </row>
    <row r="287">
      <c r="A287" s="37" t="n"/>
    </row>
    <row r="288">
      <c r="A288" s="37" t="n"/>
    </row>
    <row r="289">
      <c r="A289" s="37" t="n"/>
    </row>
    <row r="290">
      <c r="A290" s="37" t="n"/>
    </row>
    <row r="291">
      <c r="A291" s="37" t="n"/>
    </row>
    <row r="292">
      <c r="A292" s="37" t="n"/>
    </row>
    <row r="293">
      <c r="A293" s="37" t="n"/>
    </row>
    <row r="294">
      <c r="A294" s="37" t="n"/>
    </row>
    <row r="295">
      <c r="A295" s="37" t="n"/>
    </row>
    <row r="296">
      <c r="A296" s="37" t="n"/>
    </row>
    <row r="297">
      <c r="A297" s="37" t="n"/>
    </row>
    <row r="298">
      <c r="A298" s="37" t="n"/>
    </row>
    <row r="299">
      <c r="A299" s="37" t="n"/>
    </row>
    <row r="300">
      <c r="A300" s="37" t="n"/>
    </row>
    <row r="301">
      <c r="A301" s="37" t="n"/>
    </row>
    <row r="302">
      <c r="A302" s="37" t="n"/>
    </row>
    <row r="303">
      <c r="A303" s="37" t="n"/>
    </row>
    <row r="304">
      <c r="A304" s="37" t="n"/>
    </row>
    <row r="305">
      <c r="A305" s="37" t="n"/>
    </row>
    <row r="306">
      <c r="A306" s="37" t="n"/>
    </row>
    <row r="307">
      <c r="A307" s="37" t="n"/>
    </row>
    <row r="308">
      <c r="A308" s="37" t="n"/>
    </row>
    <row r="309">
      <c r="A309" s="37" t="n"/>
    </row>
    <row r="310">
      <c r="A310" s="37" t="n"/>
    </row>
    <row r="311">
      <c r="A311" s="37" t="n"/>
    </row>
    <row r="312">
      <c r="A312" s="37" t="n"/>
    </row>
    <row r="313">
      <c r="A313" s="37" t="n"/>
    </row>
    <row r="314">
      <c r="A314" s="37" t="n"/>
    </row>
    <row r="315">
      <c r="A315" s="37" t="n"/>
    </row>
    <row r="316">
      <c r="A316" s="37" t="n"/>
    </row>
    <row r="317">
      <c r="A317" s="37" t="n"/>
    </row>
    <row r="318">
      <c r="A318" s="37" t="n"/>
    </row>
    <row r="319">
      <c r="A319" s="37" t="n"/>
    </row>
    <row r="320">
      <c r="A320" s="37" t="n"/>
    </row>
    <row r="321">
      <c r="A321" s="37" t="n"/>
    </row>
    <row r="322">
      <c r="A322" s="37" t="n"/>
    </row>
    <row r="323">
      <c r="A323" s="37" t="n"/>
    </row>
    <row r="324">
      <c r="A324" s="37" t="n"/>
    </row>
    <row r="325">
      <c r="A325" s="37" t="n"/>
    </row>
    <row r="326">
      <c r="A326" s="37" t="n"/>
    </row>
    <row r="327">
      <c r="A327" s="37" t="n"/>
    </row>
    <row r="328">
      <c r="A328" s="37" t="n"/>
    </row>
    <row r="329">
      <c r="A329" s="37" t="n"/>
    </row>
    <row r="330">
      <c r="A330" s="37" t="n"/>
    </row>
    <row r="331">
      <c r="A331" s="37" t="n"/>
    </row>
    <row r="332">
      <c r="A332" s="37" t="n"/>
    </row>
    <row r="333">
      <c r="A333" s="37" t="n"/>
    </row>
    <row r="334">
      <c r="A334" s="37" t="n"/>
    </row>
    <row r="335">
      <c r="A335" s="37" t="n"/>
    </row>
    <row r="336">
      <c r="A336" s="37" t="n"/>
    </row>
    <row r="337">
      <c r="A337" s="37" t="n"/>
    </row>
    <row r="338">
      <c r="A338" s="37" t="n"/>
    </row>
    <row r="339">
      <c r="A339" s="37" t="n"/>
    </row>
    <row r="340">
      <c r="A340" s="37" t="n"/>
    </row>
    <row r="341">
      <c r="A341" s="37" t="n"/>
    </row>
    <row r="342">
      <c r="A342" s="37" t="n"/>
    </row>
    <row r="343">
      <c r="A343" s="37" t="n"/>
    </row>
    <row r="344">
      <c r="A344" s="37" t="n"/>
    </row>
    <row r="345">
      <c r="A345" s="37" t="n"/>
    </row>
    <row r="346">
      <c r="A346" s="37" t="n"/>
    </row>
    <row r="347">
      <c r="A347" s="37" t="n"/>
    </row>
    <row r="348">
      <c r="A348" s="37" t="n"/>
    </row>
    <row r="349">
      <c r="A349" s="37" t="n"/>
    </row>
    <row r="350">
      <c r="A350" s="37" t="n"/>
    </row>
    <row r="351">
      <c r="A351" s="37" t="n"/>
    </row>
    <row r="352">
      <c r="A352" s="37" t="n"/>
    </row>
    <row r="353">
      <c r="A353" s="37" t="n"/>
    </row>
    <row r="354">
      <c r="A354" s="37" t="n"/>
    </row>
    <row r="355">
      <c r="A355" s="37" t="n"/>
    </row>
    <row r="356">
      <c r="A356" s="37" t="n"/>
    </row>
    <row r="357">
      <c r="A357" s="37" t="n"/>
    </row>
    <row r="358">
      <c r="A358" s="37" t="n"/>
    </row>
    <row r="359">
      <c r="A359" s="37" t="n"/>
    </row>
    <row r="360">
      <c r="A360" s="37" t="n"/>
    </row>
    <row r="361">
      <c r="A361" s="37" t="n"/>
    </row>
    <row r="362">
      <c r="A362" s="37" t="n"/>
    </row>
    <row r="363">
      <c r="A363" s="37" t="n"/>
    </row>
    <row r="364">
      <c r="A364" s="37" t="n"/>
    </row>
    <row r="365">
      <c r="A365" s="37" t="n"/>
    </row>
    <row r="366">
      <c r="A366" s="37" t="n"/>
    </row>
    <row r="367">
      <c r="A367" s="37" t="n"/>
    </row>
    <row r="368">
      <c r="A368" s="37" t="n"/>
    </row>
    <row r="369">
      <c r="A369" s="37" t="n"/>
    </row>
    <row r="370">
      <c r="A370" s="37" t="n"/>
    </row>
    <row r="371">
      <c r="A371" s="37" t="n"/>
    </row>
    <row r="372">
      <c r="A372" s="37" t="n"/>
    </row>
    <row r="373">
      <c r="A373" s="37" t="n"/>
    </row>
    <row r="374">
      <c r="A374" s="37" t="n"/>
    </row>
    <row r="375">
      <c r="A375" s="37" t="n"/>
    </row>
    <row r="376">
      <c r="A376" s="37" t="n"/>
    </row>
    <row r="377">
      <c r="A377" s="37" t="n"/>
    </row>
    <row r="378">
      <c r="A378" s="37" t="n"/>
    </row>
    <row r="379">
      <c r="A379" s="37" t="n"/>
    </row>
    <row r="380">
      <c r="A380" s="37" t="n"/>
    </row>
    <row r="381">
      <c r="A381" s="37" t="n"/>
    </row>
    <row r="382">
      <c r="A382" s="37" t="n"/>
    </row>
    <row r="383">
      <c r="A383" s="37" t="n"/>
    </row>
    <row r="384">
      <c r="A384" s="37" t="n"/>
    </row>
    <row r="385">
      <c r="A385" s="37" t="n"/>
    </row>
    <row r="386">
      <c r="A386" s="37" t="n"/>
    </row>
    <row r="387">
      <c r="A387" s="37" t="n"/>
    </row>
    <row r="388">
      <c r="A388" s="37" t="n"/>
    </row>
    <row r="389">
      <c r="A389" s="37" t="n"/>
    </row>
    <row r="390">
      <c r="A390" s="37" t="n"/>
    </row>
    <row r="391">
      <c r="A391" s="37" t="n"/>
    </row>
    <row r="392">
      <c r="A392" s="37" t="n"/>
    </row>
    <row r="393">
      <c r="A393" s="37" t="n"/>
    </row>
    <row r="394">
      <c r="A394" s="37" t="n"/>
    </row>
    <row r="395">
      <c r="A395" s="37" t="n"/>
    </row>
    <row r="396">
      <c r="A396" s="37" t="n"/>
    </row>
    <row r="397">
      <c r="A397" s="37" t="n"/>
    </row>
    <row r="398">
      <c r="A398" s="37" t="n"/>
    </row>
    <row r="399">
      <c r="A399" s="37" t="n"/>
    </row>
    <row r="400">
      <c r="A400" s="37" t="n"/>
    </row>
    <row r="401">
      <c r="A401" s="37" t="n"/>
    </row>
    <row r="402">
      <c r="A402" s="37" t="n"/>
    </row>
    <row r="403">
      <c r="A403" s="37" t="n"/>
    </row>
    <row r="404">
      <c r="A404" s="37" t="n"/>
    </row>
    <row r="405">
      <c r="A405" s="37" t="n"/>
    </row>
    <row r="406">
      <c r="A406" s="37" t="n"/>
    </row>
    <row r="407">
      <c r="A407" s="37" t="n"/>
    </row>
    <row r="408">
      <c r="A408" s="37" t="n"/>
    </row>
    <row r="409">
      <c r="A409" s="37" t="n"/>
    </row>
    <row r="410">
      <c r="A410" s="37" t="n"/>
    </row>
    <row r="411">
      <c r="A411" s="37" t="n"/>
    </row>
    <row r="412">
      <c r="A412" s="37" t="n"/>
    </row>
    <row r="413">
      <c r="A413" s="37" t="n"/>
    </row>
    <row r="414">
      <c r="A414" s="37" t="n"/>
    </row>
    <row r="415">
      <c r="A415" s="37" t="n"/>
    </row>
    <row r="416">
      <c r="A416" s="37" t="n"/>
    </row>
    <row r="417">
      <c r="A417" s="37" t="n"/>
    </row>
    <row r="418">
      <c r="A418" s="37" t="n"/>
    </row>
    <row r="419">
      <c r="A419" s="37" t="n"/>
    </row>
    <row r="420">
      <c r="A420" s="37" t="n"/>
    </row>
    <row r="421">
      <c r="A421" s="37" t="n"/>
    </row>
    <row r="422">
      <c r="A422" s="37" t="n"/>
    </row>
    <row r="423">
      <c r="A423" s="37" t="n"/>
    </row>
    <row r="424">
      <c r="A424" s="37" t="n"/>
    </row>
    <row r="425">
      <c r="A425" s="37" t="n"/>
    </row>
    <row r="426">
      <c r="A426" s="37" t="n"/>
    </row>
    <row r="427">
      <c r="A427" s="37" t="n"/>
    </row>
    <row r="428">
      <c r="A428" s="37" t="n"/>
    </row>
    <row r="429">
      <c r="A429" s="37" t="n"/>
    </row>
    <row r="430">
      <c r="A430" s="37" t="n"/>
    </row>
    <row r="431">
      <c r="A431" s="37" t="n"/>
    </row>
    <row r="432">
      <c r="A432" s="37" t="n"/>
    </row>
    <row r="433">
      <c r="A433" s="37" t="n"/>
    </row>
    <row r="434">
      <c r="A434" s="37" t="n"/>
    </row>
    <row r="435">
      <c r="A435" s="37" t="n"/>
    </row>
    <row r="436">
      <c r="A436" s="37" t="n"/>
    </row>
    <row r="437">
      <c r="A437" s="37" t="n"/>
    </row>
    <row r="438">
      <c r="A438" s="37" t="n"/>
    </row>
    <row r="439">
      <c r="A439" s="37" t="n"/>
    </row>
    <row r="440">
      <c r="A440" s="37" t="n"/>
    </row>
    <row r="441">
      <c r="A441" s="37" t="n"/>
    </row>
    <row r="442">
      <c r="A442" s="37" t="n"/>
    </row>
    <row r="443">
      <c r="A443" s="37" t="n"/>
    </row>
    <row r="444">
      <c r="A444" s="37" t="n"/>
    </row>
    <row r="445">
      <c r="A445" s="37" t="n"/>
    </row>
    <row r="446">
      <c r="A446" s="37" t="n"/>
    </row>
    <row r="447">
      <c r="A447" s="37" t="n"/>
    </row>
    <row r="448">
      <c r="A448" s="37" t="n"/>
    </row>
    <row r="449">
      <c r="A449" s="37" t="n"/>
    </row>
    <row r="450">
      <c r="A450" s="37" t="n"/>
    </row>
    <row r="451">
      <c r="A451" s="37" t="n"/>
    </row>
    <row r="452">
      <c r="A452" s="37" t="n"/>
    </row>
    <row r="453">
      <c r="A453" s="37" t="n"/>
    </row>
    <row r="454">
      <c r="A454" s="37" t="n"/>
    </row>
    <row r="455">
      <c r="A455" s="37" t="n"/>
    </row>
    <row r="456">
      <c r="A456" s="37" t="n"/>
    </row>
    <row r="457">
      <c r="A457" s="37" t="n"/>
    </row>
    <row r="458">
      <c r="A458" s="37" t="n"/>
    </row>
    <row r="459">
      <c r="A459" s="37" t="n"/>
    </row>
    <row r="460">
      <c r="A460" s="37" t="n"/>
    </row>
    <row r="461">
      <c r="A461" s="37" t="n"/>
    </row>
    <row r="462">
      <c r="A462" s="37" t="n"/>
    </row>
    <row r="463">
      <c r="A463" s="37" t="n"/>
    </row>
    <row r="464">
      <c r="A464" s="37" t="n"/>
    </row>
    <row r="465">
      <c r="A465" s="37" t="n"/>
    </row>
    <row r="466">
      <c r="A466" s="37" t="n"/>
    </row>
    <row r="467">
      <c r="A467" s="37" t="n"/>
    </row>
    <row r="468">
      <c r="A468" s="37" t="n"/>
    </row>
    <row r="469">
      <c r="A469" s="37" t="n"/>
    </row>
    <row r="470">
      <c r="A470" s="37" t="n"/>
    </row>
    <row r="471">
      <c r="A471" s="37" t="n"/>
    </row>
    <row r="472">
      <c r="A472" s="37" t="n"/>
    </row>
    <row r="473">
      <c r="A473" s="37" t="n"/>
    </row>
    <row r="474">
      <c r="A474" s="37" t="n"/>
    </row>
    <row r="475">
      <c r="A475" s="37" t="n"/>
    </row>
    <row r="476">
      <c r="A476" s="37" t="n"/>
    </row>
    <row r="477">
      <c r="A477" s="37" t="n"/>
    </row>
    <row r="478">
      <c r="A478" s="37" t="n"/>
    </row>
    <row r="479">
      <c r="A479" s="37" t="n"/>
    </row>
    <row r="480">
      <c r="A480" s="37" t="n"/>
    </row>
    <row r="481">
      <c r="A481" s="37" t="n"/>
    </row>
    <row r="482">
      <c r="A482" s="37" t="n"/>
    </row>
    <row r="483">
      <c r="A483" s="37" t="n"/>
    </row>
    <row r="484">
      <c r="A484" s="37" t="n"/>
    </row>
    <row r="485">
      <c r="A485" s="37" t="n"/>
    </row>
    <row r="486">
      <c r="A486" s="37" t="n"/>
    </row>
    <row r="487">
      <c r="A487" s="37" t="n"/>
    </row>
    <row r="488">
      <c r="A488" s="37" t="n"/>
    </row>
    <row r="489">
      <c r="A489" s="37" t="n"/>
    </row>
    <row r="490">
      <c r="A490" s="37" t="n"/>
    </row>
    <row r="491">
      <c r="A491" s="37" t="n"/>
    </row>
    <row r="492">
      <c r="A492" s="37" t="n"/>
    </row>
    <row r="493">
      <c r="A493" s="37" t="n"/>
    </row>
    <row r="494">
      <c r="A494" s="37" t="n"/>
    </row>
    <row r="495">
      <c r="A495" s="37" t="n"/>
    </row>
    <row r="496">
      <c r="A496" s="37" t="n"/>
    </row>
    <row r="497">
      <c r="A497" s="37" t="n"/>
    </row>
    <row r="498">
      <c r="A498" s="37" t="n"/>
    </row>
    <row r="499">
      <c r="A499" s="37" t="n"/>
    </row>
    <row r="500">
      <c r="A500" s="3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2026-08-04T13:30:12Z</dcterms:created>
  <dcterms:modified xmlns:dcterms="http://purl.org/dc/terms/" xmlns:xsi="http://www.w3.org/2001/XMLSchema-instance" xsi:type="dcterms:W3CDTF">2026-08-04T13:30:13Z</dcterms:modified>
</cp:coreProperties>
</file>